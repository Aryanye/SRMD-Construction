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shah/Library/CloudStorage/GoogleDrive-aryan.shah@anarl.com/Shared drives/03-02 P2 Workings/01 ANA P2 Workings/02 P2 Workings - All Versions/"/>
    </mc:Choice>
  </mc:AlternateContent>
  <xr:revisionPtr revIDLastSave="0" documentId="13_ncr:1_{E33EF732-8986-044F-AD0E-545493717D3F}" xr6:coauthVersionLast="47" xr6:coauthVersionMax="47" xr10:uidLastSave="{00000000-0000-0000-0000-000000000000}"/>
  <bookViews>
    <workbookView xWindow="4420" yWindow="760" windowWidth="25820" windowHeight="17440" firstSheet="1" activeTab="1" xr2:uid="{31A62F13-E032-914A-A42A-D4329493776B}"/>
  </bookViews>
  <sheets>
    <sheet name="Input" sheetId="5" r:id="rId1"/>
    <sheet name="Output" sheetId="10" r:id="rId2"/>
    <sheet name="ANA Summary" sheetId="13" r:id="rId3"/>
    <sheet name="FSI &amp; Area Cal" sheetId="9" r:id="rId4"/>
    <sheet name="Detailed Costing" sheetId="8" r:id="rId5"/>
    <sheet name="Approvals &amp; Liasoning" sheetId="12" r:id="rId6"/>
    <sheet name="Sales and Collection" sheetId="11" r:id="rId7"/>
    <sheet name="Sales Phasing" sheetId="15" r:id="rId8"/>
    <sheet name="Cash Flow" sheetId="14" r:id="rId9"/>
    <sheet name="Project Config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8" l="1"/>
  <c r="F27" i="8"/>
  <c r="E33" i="13" l="1"/>
  <c r="E32" i="13"/>
  <c r="E31" i="13"/>
  <c r="E30" i="13"/>
  <c r="F17" i="8"/>
  <c r="F19" i="8" s="1"/>
  <c r="F18" i="8" l="1"/>
  <c r="F20" i="8" s="1"/>
  <c r="F23" i="8" l="1"/>
  <c r="F21" i="8"/>
  <c r="F24" i="8"/>
  <c r="F22" i="8"/>
  <c r="F25" i="8" l="1"/>
  <c r="D6" i="9" l="1"/>
  <c r="E47" i="13"/>
  <c r="D14" i="10"/>
  <c r="B21" i="14"/>
  <c r="F35" i="13"/>
  <c r="F36" i="13"/>
  <c r="B8" i="14"/>
  <c r="B30" i="14"/>
  <c r="C15" i="14"/>
  <c r="E27" i="14"/>
  <c r="I27" i="14" s="1"/>
  <c r="B26" i="14"/>
  <c r="E5" i="14"/>
  <c r="B18" i="14"/>
  <c r="F6" i="14"/>
  <c r="E6" i="14"/>
  <c r="H6" i="14"/>
  <c r="G6" i="14"/>
  <c r="H5" i="14"/>
  <c r="G5" i="14"/>
  <c r="F5" i="14"/>
  <c r="D2" i="11"/>
  <c r="E6" i="11"/>
  <c r="B37" i="11"/>
  <c r="C38" i="11"/>
  <c r="D38" i="11" s="1"/>
  <c r="C39" i="11"/>
  <c r="D39" i="11" s="1"/>
  <c r="F28" i="13"/>
  <c r="D23" i="13"/>
  <c r="F23" i="13" s="1"/>
  <c r="F22" i="13"/>
  <c r="A21" i="13"/>
  <c r="A22" i="13" s="1"/>
  <c r="A23" i="13" s="1"/>
  <c r="A24" i="13" s="1"/>
  <c r="A28" i="13" s="1"/>
  <c r="A29" i="13" s="1"/>
  <c r="A30" i="13" s="1"/>
  <c r="A31" i="13" s="1"/>
  <c r="A32" i="13" s="1"/>
  <c r="A33" i="13" s="1"/>
  <c r="A34" i="13" s="1"/>
  <c r="A35" i="13" s="1"/>
  <c r="A36" i="13" s="1"/>
  <c r="E13" i="13"/>
  <c r="E12" i="13"/>
  <c r="E11" i="13"/>
  <c r="E10" i="13"/>
  <c r="E9" i="13"/>
  <c r="E8" i="13"/>
  <c r="E7" i="13"/>
  <c r="E6" i="13"/>
  <c r="E5" i="13"/>
  <c r="C15" i="10" l="1"/>
  <c r="E15" i="13"/>
  <c r="D40" i="11" l="1"/>
  <c r="D63" i="9" l="1"/>
  <c r="F63" i="9" s="1"/>
  <c r="F64" i="9"/>
  <c r="G64" i="9" s="1"/>
  <c r="F71" i="9"/>
  <c r="G71" i="9" s="1"/>
  <c r="F72" i="9"/>
  <c r="H72" i="9" s="1"/>
  <c r="F67" i="9"/>
  <c r="G67" i="9" s="1"/>
  <c r="D68" i="9"/>
  <c r="F68" i="9" s="1"/>
  <c r="H67" i="9" l="1"/>
  <c r="G68" i="9"/>
  <c r="H68" i="9"/>
  <c r="D9" i="8" s="1"/>
  <c r="G63" i="9"/>
  <c r="H71" i="9"/>
  <c r="H73" i="9" s="1"/>
  <c r="F74" i="9"/>
  <c r="G72" i="9"/>
  <c r="G73" i="9" s="1"/>
  <c r="C29" i="8" l="1"/>
  <c r="E29" i="8"/>
  <c r="K67" i="9"/>
  <c r="D10" i="8"/>
  <c r="D33" i="13"/>
  <c r="F33" i="13" s="1"/>
  <c r="D32" i="13"/>
  <c r="F32" i="13" s="1"/>
  <c r="G74" i="9"/>
  <c r="H74" i="9"/>
  <c r="G65" i="9"/>
  <c r="G69" i="9" s="1"/>
  <c r="C49" i="9"/>
  <c r="C48" i="9"/>
  <c r="B16" i="5"/>
  <c r="C30" i="8" l="1"/>
  <c r="E30" i="8"/>
  <c r="B21" i="10"/>
  <c r="B22" i="11" s="1"/>
  <c r="G22" i="11" s="1"/>
  <c r="H22" i="11" s="1"/>
  <c r="I22" i="11" s="1"/>
  <c r="B20" i="10"/>
  <c r="B10" i="11" s="1"/>
  <c r="E10" i="11" s="1"/>
  <c r="F10" i="11" s="1"/>
  <c r="G10" i="11" s="1"/>
  <c r="H10" i="11" s="1"/>
  <c r="I10" i="11" s="1"/>
  <c r="J10" i="11" s="1"/>
  <c r="K10" i="11" s="1"/>
  <c r="B6" i="10"/>
  <c r="E5" i="12"/>
  <c r="G5" i="12" s="1"/>
  <c r="G6" i="12"/>
  <c r="G8" i="12"/>
  <c r="G12" i="12" s="1"/>
  <c r="G9" i="12"/>
  <c r="G10" i="12"/>
  <c r="G14" i="12"/>
  <c r="G16" i="12"/>
  <c r="E17" i="12"/>
  <c r="G17" i="12" s="1"/>
  <c r="E19" i="12"/>
  <c r="G19" i="12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D6" i="11"/>
  <c r="D3" i="11"/>
  <c r="E2" i="11"/>
  <c r="F2" i="11" s="1"/>
  <c r="B6" i="11" l="1"/>
  <c r="E20" i="12"/>
  <c r="E18" i="12"/>
  <c r="G18" i="12" s="1"/>
  <c r="G2" i="11"/>
  <c r="F3" i="11"/>
  <c r="L10" i="11"/>
  <c r="M10" i="11" s="1"/>
  <c r="N10" i="11" s="1"/>
  <c r="O10" i="11" s="1"/>
  <c r="P10" i="11" s="1"/>
  <c r="Q10" i="11" s="1"/>
  <c r="R10" i="11" s="1"/>
  <c r="J22" i="11"/>
  <c r="E3" i="11"/>
  <c r="G20" i="12" l="1"/>
  <c r="G22" i="12" s="1"/>
  <c r="E21" i="12"/>
  <c r="G21" i="12" s="1"/>
  <c r="R9" i="11"/>
  <c r="S10" i="11"/>
  <c r="K22" i="11"/>
  <c r="G3" i="11"/>
  <c r="H2" i="11"/>
  <c r="B19" i="5" l="1"/>
  <c r="B20" i="5" s="1"/>
  <c r="F29" i="13"/>
  <c r="C13" i="10"/>
  <c r="L22" i="11"/>
  <c r="H3" i="11"/>
  <c r="I2" i="11"/>
  <c r="T10" i="11"/>
  <c r="C14" i="14" l="1"/>
  <c r="E14" i="14"/>
  <c r="I14" i="14" s="1"/>
  <c r="I3" i="11"/>
  <c r="J2" i="11"/>
  <c r="M22" i="11"/>
  <c r="J3" i="11" l="1"/>
  <c r="K2" i="11"/>
  <c r="N22" i="11"/>
  <c r="L2" i="11" l="1"/>
  <c r="K3" i="11"/>
  <c r="O22" i="11"/>
  <c r="P22" i="11" l="1"/>
  <c r="M2" i="11"/>
  <c r="L3" i="11"/>
  <c r="N2" i="11" l="1"/>
  <c r="M3" i="11"/>
  <c r="Q22" i="11"/>
  <c r="R22" i="11" l="1"/>
  <c r="O2" i="11"/>
  <c r="N3" i="11"/>
  <c r="R21" i="11" l="1"/>
  <c r="S22" i="11"/>
  <c r="P2" i="11"/>
  <c r="O3" i="11"/>
  <c r="Q2" i="11" l="1"/>
  <c r="P3" i="11"/>
  <c r="T22" i="11"/>
  <c r="Q3" i="11" l="1"/>
  <c r="R2" i="11"/>
  <c r="R3" i="11" l="1"/>
  <c r="S2" i="11"/>
  <c r="S3" i="11" l="1"/>
  <c r="T2" i="11"/>
  <c r="T3" i="11" s="1"/>
  <c r="E6" i="9" l="1"/>
  <c r="D13" i="9"/>
  <c r="E13" i="9" s="1"/>
  <c r="D15" i="9"/>
  <c r="E15" i="9" s="1"/>
  <c r="E36" i="9"/>
  <c r="D30" i="9" l="1"/>
  <c r="E30" i="9" s="1"/>
  <c r="D17" i="9"/>
  <c r="D32" i="9" l="1"/>
  <c r="E32" i="9" s="1"/>
  <c r="D26" i="9"/>
  <c r="E17" i="9"/>
  <c r="D18" i="9"/>
  <c r="D24" i="9" l="1"/>
  <c r="D20" i="9"/>
  <c r="E18" i="9"/>
  <c r="E26" i="9"/>
  <c r="D27" i="9"/>
  <c r="E27" i="9" s="1"/>
  <c r="E20" i="9" l="1"/>
  <c r="D21" i="9"/>
  <c r="E21" i="9" s="1"/>
  <c r="E24" i="9"/>
  <c r="D35" i="9"/>
  <c r="E35" i="9" l="1"/>
  <c r="D37" i="9"/>
  <c r="D38" i="9" s="1"/>
  <c r="D42" i="9" s="1"/>
  <c r="E37" i="9" l="1"/>
  <c r="E38" i="9" l="1"/>
  <c r="D39" i="9"/>
  <c r="D41" i="9" s="1"/>
  <c r="E39" i="9" l="1"/>
  <c r="D45" i="9"/>
  <c r="D46" i="9"/>
  <c r="D49" i="9" s="1"/>
  <c r="E42" i="9"/>
  <c r="E46" i="9" l="1"/>
  <c r="E41" i="9"/>
  <c r="D43" i="9"/>
  <c r="E45" i="9" l="1"/>
  <c r="E43" i="9"/>
  <c r="D44" i="9"/>
  <c r="D47" i="9" l="1"/>
  <c r="D48" i="9" s="1"/>
  <c r="D50" i="9" s="1"/>
  <c r="E44" i="9"/>
  <c r="C19" i="13" l="1"/>
  <c r="E47" i="9"/>
  <c r="D5" i="8" s="1"/>
  <c r="D54" i="9" l="1"/>
  <c r="D19" i="13"/>
  <c r="E48" i="9"/>
  <c r="E49" i="9"/>
  <c r="B3" i="10"/>
  <c r="I64" i="9" l="1"/>
  <c r="K64" i="9" s="1"/>
  <c r="G7" i="8"/>
  <c r="I63" i="9"/>
  <c r="K63" i="9" s="1"/>
  <c r="K65" i="9" s="1"/>
  <c r="G6" i="8"/>
  <c r="F49" i="9"/>
  <c r="D21" i="13"/>
  <c r="H64" i="9"/>
  <c r="D7" i="8" s="1"/>
  <c r="B5" i="10"/>
  <c r="B21" i="11"/>
  <c r="B24" i="11" s="1"/>
  <c r="F48" i="9"/>
  <c r="D20" i="13"/>
  <c r="C20" i="13" s="1"/>
  <c r="B9" i="11"/>
  <c r="B12" i="11" s="1"/>
  <c r="E50" i="9"/>
  <c r="H63" i="9"/>
  <c r="D6" i="8" s="1"/>
  <c r="B4" i="10"/>
  <c r="C28" i="8" l="1"/>
  <c r="E28" i="8"/>
  <c r="G28" i="8" s="1"/>
  <c r="C27" i="8"/>
  <c r="E27" i="8" s="1"/>
  <c r="C13" i="8"/>
  <c r="G22" i="8"/>
  <c r="G23" i="8"/>
  <c r="G11" i="8"/>
  <c r="H65" i="9"/>
  <c r="D30" i="13"/>
  <c r="O13" i="11"/>
  <c r="O14" i="11" s="1"/>
  <c r="F13" i="11"/>
  <c r="F14" i="11" s="1"/>
  <c r="N13" i="11"/>
  <c r="N14" i="11" s="1"/>
  <c r="M13" i="11"/>
  <c r="M14" i="11" s="1"/>
  <c r="H13" i="11"/>
  <c r="H14" i="11" s="1"/>
  <c r="S13" i="11"/>
  <c r="S14" i="11" s="1"/>
  <c r="K13" i="11"/>
  <c r="K14" i="11" s="1"/>
  <c r="D13" i="11"/>
  <c r="J13" i="11"/>
  <c r="J14" i="11" s="1"/>
  <c r="G13" i="11"/>
  <c r="G14" i="11" s="1"/>
  <c r="L13" i="11"/>
  <c r="L14" i="11" s="1"/>
  <c r="P13" i="11"/>
  <c r="P14" i="11" s="1"/>
  <c r="Q13" i="11"/>
  <c r="Q14" i="11" s="1"/>
  <c r="I13" i="11"/>
  <c r="I14" i="11" s="1"/>
  <c r="R13" i="11"/>
  <c r="R14" i="11" s="1"/>
  <c r="T13" i="11"/>
  <c r="T14" i="11" s="1"/>
  <c r="E13" i="11"/>
  <c r="E14" i="11" s="1"/>
  <c r="D24" i="13"/>
  <c r="C24" i="13" s="1"/>
  <c r="F50" i="9"/>
  <c r="B27" i="5" s="1"/>
  <c r="E51" i="9"/>
  <c r="D31" i="13"/>
  <c r="F31" i="13" s="1"/>
  <c r="L25" i="11"/>
  <c r="L26" i="11" s="1"/>
  <c r="M25" i="11"/>
  <c r="M26" i="11" s="1"/>
  <c r="F25" i="11"/>
  <c r="F26" i="11" s="1"/>
  <c r="I25" i="11"/>
  <c r="I26" i="11" s="1"/>
  <c r="H25" i="11"/>
  <c r="H26" i="11" s="1"/>
  <c r="N25" i="11"/>
  <c r="N26" i="11" s="1"/>
  <c r="O25" i="11"/>
  <c r="O26" i="11" s="1"/>
  <c r="S25" i="11"/>
  <c r="S26" i="11" s="1"/>
  <c r="K25" i="11"/>
  <c r="K26" i="11" s="1"/>
  <c r="E25" i="11"/>
  <c r="E26" i="11" s="1"/>
  <c r="Q25" i="11"/>
  <c r="Q26" i="11" s="1"/>
  <c r="G25" i="11"/>
  <c r="G26" i="11" s="1"/>
  <c r="P25" i="11"/>
  <c r="P26" i="11" s="1"/>
  <c r="J25" i="11"/>
  <c r="J26" i="11" s="1"/>
  <c r="D25" i="11"/>
  <c r="T25" i="11"/>
  <c r="T26" i="11" s="1"/>
  <c r="R25" i="11"/>
  <c r="R26" i="11" s="1"/>
  <c r="G5" i="8" l="1"/>
  <c r="D58" i="9"/>
  <c r="H69" i="9"/>
  <c r="D55" i="9" s="1"/>
  <c r="D8" i="8"/>
  <c r="D11" i="8" s="1"/>
  <c r="G30" i="8"/>
  <c r="G29" i="8"/>
  <c r="C14" i="8"/>
  <c r="E13" i="8"/>
  <c r="G27" i="8"/>
  <c r="E32" i="8"/>
  <c r="K4" i="11"/>
  <c r="J4" i="11"/>
  <c r="S4" i="11"/>
  <c r="R4" i="11"/>
  <c r="N4" i="11"/>
  <c r="I4" i="11"/>
  <c r="F4" i="11"/>
  <c r="O4" i="11"/>
  <c r="P4" i="11"/>
  <c r="B13" i="11"/>
  <c r="D14" i="11"/>
  <c r="H4" i="11"/>
  <c r="D26" i="11"/>
  <c r="B25" i="11"/>
  <c r="E4" i="11"/>
  <c r="T4" i="11"/>
  <c r="M4" i="11"/>
  <c r="Q4" i="11"/>
  <c r="L4" i="11"/>
  <c r="G4" i="11"/>
  <c r="C32" i="8" l="1"/>
  <c r="C21" i="8"/>
  <c r="C16" i="10"/>
  <c r="G7" i="11"/>
  <c r="T7" i="11"/>
  <c r="K7" i="11"/>
  <c r="C16" i="14"/>
  <c r="E7" i="11"/>
  <c r="F7" i="11"/>
  <c r="R7" i="11"/>
  <c r="S7" i="11"/>
  <c r="F32" i="8"/>
  <c r="Q7" i="11"/>
  <c r="D7" i="11"/>
  <c r="N7" i="11"/>
  <c r="L7" i="11"/>
  <c r="M7" i="11"/>
  <c r="O7" i="11"/>
  <c r="P7" i="11"/>
  <c r="I7" i="11"/>
  <c r="H7" i="11"/>
  <c r="J7" i="11"/>
  <c r="G32" i="8"/>
  <c r="C30" i="10" s="1"/>
  <c r="G13" i="8"/>
  <c r="E14" i="8"/>
  <c r="G14" i="8" s="1"/>
  <c r="C15" i="8"/>
  <c r="B14" i="11"/>
  <c r="C27" i="10" s="1"/>
  <c r="D4" i="11"/>
  <c r="B4" i="11" s="1"/>
  <c r="C29" i="10" s="1"/>
  <c r="D17" i="11"/>
  <c r="D29" i="11"/>
  <c r="B26" i="11"/>
  <c r="C16" i="8" l="1"/>
  <c r="E16" i="8" s="1"/>
  <c r="G16" i="8" s="1"/>
  <c r="E15" i="8"/>
  <c r="C24" i="8"/>
  <c r="E24" i="8" s="1"/>
  <c r="G24" i="8" s="1"/>
  <c r="E21" i="8"/>
  <c r="E29" i="11"/>
  <c r="F29" i="11" s="1"/>
  <c r="G29" i="11" s="1"/>
  <c r="E20" i="13"/>
  <c r="F20" i="13" s="1"/>
  <c r="C9" i="10"/>
  <c r="B9" i="10" s="1"/>
  <c r="E17" i="11"/>
  <c r="D5" i="11"/>
  <c r="G21" i="8" l="1"/>
  <c r="G25" i="8" s="1"/>
  <c r="E25" i="8"/>
  <c r="G15" i="8"/>
  <c r="G17" i="8" s="1"/>
  <c r="E17" i="8"/>
  <c r="H29" i="11"/>
  <c r="I29" i="11" s="1"/>
  <c r="E5" i="11"/>
  <c r="F17" i="11"/>
  <c r="F5" i="11" s="1"/>
  <c r="E19" i="8" l="1"/>
  <c r="G19" i="8" s="1"/>
  <c r="E18" i="8"/>
  <c r="G18" i="8" s="1"/>
  <c r="G20" i="8" s="1"/>
  <c r="E20" i="8"/>
  <c r="J29" i="11"/>
  <c r="K29" i="11" s="1"/>
  <c r="L29" i="11" s="1"/>
  <c r="M29" i="11" s="1"/>
  <c r="N29" i="11" s="1"/>
  <c r="O29" i="11" s="1"/>
  <c r="P29" i="11" s="1"/>
  <c r="Q29" i="11" s="1"/>
  <c r="R29" i="11" s="1"/>
  <c r="S29" i="11" s="1"/>
  <c r="G17" i="11"/>
  <c r="H17" i="11" s="1"/>
  <c r="G5" i="11" l="1"/>
  <c r="H5" i="11"/>
  <c r="I17" i="11"/>
  <c r="J17" i="11" s="1"/>
  <c r="T29" i="11"/>
  <c r="B29" i="11" s="1"/>
  <c r="C28" i="10" s="1"/>
  <c r="K17" i="11" l="1"/>
  <c r="J5" i="11"/>
  <c r="C10" i="10"/>
  <c r="E21" i="13"/>
  <c r="F21" i="13" s="1"/>
  <c r="F24" i="13" s="1"/>
  <c r="I5" i="11"/>
  <c r="C7" i="14" l="1"/>
  <c r="F34" i="13"/>
  <c r="C17" i="14" s="1"/>
  <c r="F45" i="13"/>
  <c r="F46" i="13" s="1"/>
  <c r="G24" i="13"/>
  <c r="C12" i="10"/>
  <c r="D10" i="10" s="1"/>
  <c r="B10" i="10"/>
  <c r="L17" i="11"/>
  <c r="K5" i="11"/>
  <c r="L5" i="11" l="1"/>
  <c r="M17" i="11"/>
  <c r="M5" i="11" s="1"/>
  <c r="F47" i="13"/>
  <c r="F17" i="14"/>
  <c r="E17" i="14"/>
  <c r="G17" i="14"/>
  <c r="H17" i="14"/>
  <c r="B11" i="10"/>
  <c r="D15" i="10"/>
  <c r="C17" i="10"/>
  <c r="D17" i="10" s="1"/>
  <c r="D12" i="10"/>
  <c r="D9" i="10"/>
  <c r="D13" i="10"/>
  <c r="C14" i="10"/>
  <c r="G7" i="14"/>
  <c r="E7" i="14"/>
  <c r="F7" i="14"/>
  <c r="H7" i="14"/>
  <c r="H26" i="14" l="1"/>
  <c r="H18" i="14"/>
  <c r="I17" i="14"/>
  <c r="E26" i="14"/>
  <c r="E18" i="14"/>
  <c r="C8" i="14"/>
  <c r="F26" i="14"/>
  <c r="F18" i="14"/>
  <c r="G18" i="14"/>
  <c r="G26" i="14"/>
  <c r="N17" i="11"/>
  <c r="N5" i="11" l="1"/>
  <c r="O17" i="11"/>
  <c r="I18" i="14"/>
  <c r="I26" i="14"/>
  <c r="B28" i="14" s="1"/>
  <c r="G28" i="14" s="1"/>
  <c r="G15" i="14" s="1"/>
  <c r="E28" i="14" l="1"/>
  <c r="O5" i="11"/>
  <c r="H28" i="14"/>
  <c r="G29" i="14"/>
  <c r="F28" i="14"/>
  <c r="P17" i="11"/>
  <c r="P5" i="11" l="1"/>
  <c r="Q17" i="11"/>
  <c r="Q5" i="11" s="1"/>
  <c r="F15" i="14"/>
  <c r="F29" i="14"/>
  <c r="H15" i="14"/>
  <c r="H29" i="14"/>
  <c r="E29" i="14"/>
  <c r="I28" i="14"/>
  <c r="E15" i="14"/>
  <c r="R17" i="11" l="1"/>
  <c r="S17" i="11" s="1"/>
  <c r="I15" i="14"/>
  <c r="C30" i="14"/>
  <c r="I29" i="14"/>
  <c r="C29" i="14" s="1"/>
  <c r="T17" i="11" l="1"/>
  <c r="T5" i="11" s="1"/>
  <c r="R5" i="11"/>
  <c r="S5" i="11"/>
  <c r="B17" i="11" l="1"/>
  <c r="B5" i="11"/>
  <c r="F30" i="13" l="1"/>
  <c r="F38" i="13" l="1"/>
  <c r="G38" i="13" s="1"/>
  <c r="E16" i="14" l="1"/>
  <c r="G16" i="14"/>
  <c r="G19" i="14" s="1"/>
  <c r="H16" i="14"/>
  <c r="H19" i="14" s="1"/>
  <c r="F16" i="14"/>
  <c r="F19" i="14" s="1"/>
  <c r="F40" i="13"/>
  <c r="F42" i="13"/>
  <c r="D16" i="10"/>
  <c r="C18" i="10"/>
  <c r="D18" i="10" s="1"/>
  <c r="E19" i="14" l="1"/>
  <c r="I16" i="14"/>
  <c r="C13" i="14"/>
  <c r="F43" i="13"/>
  <c r="E13" i="14" l="1"/>
  <c r="C20" i="14"/>
  <c r="I19" i="14"/>
  <c r="C19" i="14" s="1"/>
  <c r="C21" i="14"/>
  <c r="F13" i="14"/>
  <c r="G13" i="14"/>
  <c r="H13" i="14"/>
  <c r="I13" i="14" l="1"/>
</calcChain>
</file>

<file path=xl/sharedStrings.xml><?xml version="1.0" encoding="utf-8"?>
<sst xmlns="http://schemas.openxmlformats.org/spreadsheetml/2006/main" count="457" uniqueCount="316">
  <si>
    <t>Itemised Rate</t>
  </si>
  <si>
    <t>All costs are including GST</t>
  </si>
  <si>
    <t>Rate/Sft</t>
  </si>
  <si>
    <t>Construction Area</t>
  </si>
  <si>
    <t>RERA Carpet Area</t>
  </si>
  <si>
    <t>FSI Potential</t>
  </si>
  <si>
    <t>Item</t>
  </si>
  <si>
    <t>Rs/Sft</t>
  </si>
  <si>
    <t>Amount</t>
  </si>
  <si>
    <t>Excavation &amp; Soiling</t>
  </si>
  <si>
    <t>RCC, Block Work, Plaster, Water Proofing</t>
  </si>
  <si>
    <t>Finishes (Flooring, Doors, Windows, Painting)</t>
  </si>
  <si>
    <t>MEP (Plumbing, sanitary, electricals, FF, Lifts)</t>
  </si>
  <si>
    <t>Sub-total Tower Cost</t>
  </si>
  <si>
    <t>Infrastructure</t>
  </si>
  <si>
    <t>Preliminary and Miscellaneous Costs</t>
  </si>
  <si>
    <t>Sub-total Construction Cost</t>
  </si>
  <si>
    <t>Consultants</t>
  </si>
  <si>
    <t>Approvals</t>
  </si>
  <si>
    <t>Admin &amp; Overheads</t>
  </si>
  <si>
    <t>Contingency</t>
  </si>
  <si>
    <t>Sub-total</t>
  </si>
  <si>
    <t>Say</t>
  </si>
  <si>
    <r>
      <t xml:space="preserve">Maximum utilization limit of F.S.I. (building potential) Permissible as per Road width                                                                                                                               </t>
    </r>
    <r>
      <rPr>
        <i/>
        <sz val="10"/>
        <color theme="1"/>
        <rFont val="Aptos Narrow"/>
        <family val="2"/>
        <scheme val="minor"/>
      </rPr>
      <t>{(as per Regulation No. 6.1 or 6.2 or 6.3 or 6.4 as applicable) x 1.6 or 1.8}</t>
    </r>
  </si>
  <si>
    <t>Total entitlement - Commercial</t>
  </si>
  <si>
    <t>Total entitlement - Residential</t>
  </si>
  <si>
    <t>Total entitlement (a+b)</t>
  </si>
  <si>
    <t xml:space="preserve">(c) </t>
  </si>
  <si>
    <t>Total Ancillary Area FSI</t>
  </si>
  <si>
    <t>Ancillary Area FSI with payment of charges.</t>
  </si>
  <si>
    <t>(b)</t>
  </si>
  <si>
    <t>Balance Residential Area</t>
  </si>
  <si>
    <t>Balance FSI</t>
  </si>
  <si>
    <r>
      <t xml:space="preserve">Less Existing FSI </t>
    </r>
    <r>
      <rPr>
        <i/>
        <sz val="10"/>
        <color theme="1"/>
        <rFont val="Aptos Narrow"/>
        <family val="2"/>
        <scheme val="minor"/>
      </rPr>
      <t>(O.C. No: MNP/NR/5276/2019-20 dated 17/01/2020)</t>
    </r>
  </si>
  <si>
    <t>[9 + 10(b)+11(d)] or 12 whichever is applicable.</t>
  </si>
  <si>
    <t>(a)</t>
  </si>
  <si>
    <t>Total entitlement of FSI in the proposal</t>
  </si>
  <si>
    <t>Additional FSI area under Chapter No. 7</t>
  </si>
  <si>
    <t>Total in-situ / TDR loading proposed (11 (a)+(b)+(c))</t>
  </si>
  <si>
    <t xml:space="preserve">(d) </t>
  </si>
  <si>
    <t>…</t>
  </si>
  <si>
    <t>TDR Area (1730x 0.9)=1557-700=857</t>
  </si>
  <si>
    <r>
      <t xml:space="preserve">In-situ area against Amenity Space if handed over                                                                </t>
    </r>
    <r>
      <rPr>
        <i/>
        <sz val="10"/>
        <color theme="1"/>
        <rFont val="Aptos Narrow"/>
        <family val="2"/>
        <scheme val="minor"/>
      </rPr>
      <t>[2.00 or1.85 x Sr. No. 4 (b)and /or(c)]</t>
    </r>
  </si>
  <si>
    <r>
      <t xml:space="preserve">In-situ area against D.P. road </t>
    </r>
    <r>
      <rPr>
        <i/>
        <sz val="10"/>
        <color theme="1"/>
        <rFont val="Aptos Narrow"/>
        <family val="2"/>
        <scheme val="minor"/>
      </rPr>
      <t>[2.00x Sr. No. 2 (a)],if any</t>
    </r>
  </si>
  <si>
    <t>In-situ FSI / TDR loading</t>
  </si>
  <si>
    <t>Proposed FSI on payment of premium.</t>
  </si>
  <si>
    <t>Maximum permissible premium FSI - based on road width / TOD Zone (13373.78 x 2.9)-669.00</t>
  </si>
  <si>
    <t>Addition of FSI on payment of premium</t>
  </si>
  <si>
    <r>
      <t xml:space="preserve">Built up area with reference to Basic F.S.I. as per front road width                      </t>
    </r>
    <r>
      <rPr>
        <i/>
        <sz val="10"/>
        <color theme="1"/>
        <rFont val="Aptos Narrow"/>
        <family val="2"/>
        <scheme val="minor"/>
      </rPr>
      <t xml:space="preserve">(Sr. No. 5 x basic FSI)  </t>
    </r>
    <r>
      <rPr>
        <sz val="10"/>
        <color theme="1"/>
        <rFont val="Aptos Narrow"/>
        <family val="2"/>
        <scheme val="minor"/>
      </rPr>
      <t>(12704.78 x 1.10)</t>
    </r>
  </si>
  <si>
    <t>Plotable area (If applicable)</t>
  </si>
  <si>
    <t>Internal Road area</t>
  </si>
  <si>
    <t>Proposed</t>
  </si>
  <si>
    <t>Required</t>
  </si>
  <si>
    <t>Recreational open space (If applicable)</t>
  </si>
  <si>
    <t>Net plot area (3-4(c))</t>
  </si>
  <si>
    <t>Balance proposed</t>
  </si>
  <si>
    <t>Adjustment of 2(b), if any</t>
  </si>
  <si>
    <t>Amenity space (If applicable)</t>
  </si>
  <si>
    <t>Balance area of plot (1-2)</t>
  </si>
  <si>
    <t>Total (a+b)</t>
  </si>
  <si>
    <t>Any D.P. Reservation area</t>
  </si>
  <si>
    <t>Proposed D.P./ D.P. Road widening Area/Service Road / Highway widening</t>
  </si>
  <si>
    <t>Deductions for</t>
  </si>
  <si>
    <t>As per site</t>
  </si>
  <si>
    <t>As per measurement sheet</t>
  </si>
  <si>
    <t>As per ownership document (7/12, CTS extract)</t>
  </si>
  <si>
    <r>
      <t xml:space="preserve">Area of Plot                                                                                                                                                                                   </t>
    </r>
    <r>
      <rPr>
        <i/>
        <sz val="10"/>
        <color theme="1"/>
        <rFont val="Aptos Narrow"/>
        <family val="2"/>
        <scheme val="minor"/>
      </rPr>
      <t>(Minimum area of a, b, c to be considered)</t>
    </r>
  </si>
  <si>
    <t>Sft</t>
  </si>
  <si>
    <t>Sqm</t>
  </si>
  <si>
    <t>AREA STATEMENT - As per Architect Certificate</t>
  </si>
  <si>
    <t>PROFORMA - I</t>
  </si>
  <si>
    <t>ANA Avant Garde - Phase II</t>
  </si>
  <si>
    <t>Total FSI</t>
  </si>
  <si>
    <t>Residential Carpet Area</t>
  </si>
  <si>
    <t>sf</t>
  </si>
  <si>
    <t>Retail/Commercial Carpet Area</t>
  </si>
  <si>
    <t>Revenue share of Landowner</t>
  </si>
  <si>
    <t>Particulars</t>
  </si>
  <si>
    <t>PSF (Carpet)</t>
  </si>
  <si>
    <t>Rs. Cr.</t>
  </si>
  <si>
    <t>%</t>
  </si>
  <si>
    <t>Net Revenues - Resi</t>
  </si>
  <si>
    <t>Net Revenues - Retail/Comm</t>
  </si>
  <si>
    <t>Liason and approval cost</t>
  </si>
  <si>
    <t>Residential Launch Price (on carpet)</t>
  </si>
  <si>
    <t>per sqft</t>
  </si>
  <si>
    <t>Retail / Comm Launch Price (on carpet)</t>
  </si>
  <si>
    <t>QY End</t>
  </si>
  <si>
    <t>FY End</t>
  </si>
  <si>
    <t>Total Sales (INR in Crores)</t>
  </si>
  <si>
    <t>Total Collection (INR in Crores)</t>
  </si>
  <si>
    <t>Construction schedule</t>
  </si>
  <si>
    <t>Resi. - Phase I (area sf)</t>
  </si>
  <si>
    <t>Selling price psf</t>
  </si>
  <si>
    <t>Sales phasing</t>
  </si>
  <si>
    <t>Area sold (sf)</t>
  </si>
  <si>
    <t>Sales value (INR Cr)</t>
  </si>
  <si>
    <t>Cumulative collection phasing</t>
  </si>
  <si>
    <t>Incremental collections (INR Cr)</t>
  </si>
  <si>
    <t xml:space="preserve">Construction phasing </t>
  </si>
  <si>
    <t>Comm. - Phase I (area sf)</t>
  </si>
  <si>
    <t>Total</t>
  </si>
  <si>
    <t>SqM</t>
  </si>
  <si>
    <t>K</t>
  </si>
  <si>
    <t>Fire Premium  @150 Per Sq.Mt. on Gross B/up</t>
  </si>
  <si>
    <t>J</t>
  </si>
  <si>
    <t>Property Tax Deposit  @210/- on Gross BUA</t>
  </si>
  <si>
    <t>I</t>
  </si>
  <si>
    <t>Security Deposit  @20/- on FSI BUA</t>
  </si>
  <si>
    <t>H</t>
  </si>
  <si>
    <t>Construction Cess-  @15/- on Gross BUA</t>
  </si>
  <si>
    <t>Gross BUA = Permissible FSI + 30% of Permissible FSI (Towards Basement)</t>
  </si>
  <si>
    <t>G</t>
  </si>
  <si>
    <t>Labour Cess -  (@1%  of RR construction on Gross BUA) 26620</t>
  </si>
  <si>
    <t>Total of Both Ancillary Proposed</t>
  </si>
  <si>
    <t>F</t>
  </si>
  <si>
    <t>Ancillary FSI - (@10% of RR) 31600 RR</t>
  </si>
  <si>
    <t>E</t>
  </si>
  <si>
    <t>TDR Amount</t>
  </si>
  <si>
    <t>Total FSI = 38783.96 Sqm - Less Amenity 669 SqM</t>
  </si>
  <si>
    <t>D</t>
  </si>
  <si>
    <t>On Total FSI (Less TDR) - (@35% of RR) 31600 RR</t>
  </si>
  <si>
    <t>Premium FSI Charges</t>
  </si>
  <si>
    <t>Metro Charges (Newly Introduced)</t>
  </si>
  <si>
    <t>C=Sum of B</t>
  </si>
  <si>
    <t>@100% Development Charges</t>
  </si>
  <si>
    <t xml:space="preserve">Vital Transport Project Development Charges </t>
  </si>
  <si>
    <t>Reckoner Rate = 31600 / SqM</t>
  </si>
  <si>
    <t>On Comm B/up area (4% of RR) 31600 RR</t>
  </si>
  <si>
    <t>On Resi B/up area (2% of RR) 31600 RR</t>
  </si>
  <si>
    <t>On Plot Area (0.5% of RR) 31600 RR</t>
  </si>
  <si>
    <t>B</t>
  </si>
  <si>
    <t>Development Charges</t>
  </si>
  <si>
    <t>BUA = Balance Permissible FSI/Potential in project</t>
  </si>
  <si>
    <t>On B/up Area (5/SqMt)</t>
  </si>
  <si>
    <t>Gross Plot Area(13373.78 SqM)/4046.86 x Rs. 2000/-</t>
  </si>
  <si>
    <t>Acre</t>
  </si>
  <si>
    <t>On Plot Area @ Rs. 2000/Acre</t>
  </si>
  <si>
    <t>A</t>
  </si>
  <si>
    <t>Scrutiny Charges</t>
  </si>
  <si>
    <t>Remarks</t>
  </si>
  <si>
    <t>Rate</t>
  </si>
  <si>
    <t>Qty</t>
  </si>
  <si>
    <t>Unit</t>
  </si>
  <si>
    <t>Ref No</t>
  </si>
  <si>
    <t>Title</t>
  </si>
  <si>
    <t>Sr</t>
  </si>
  <si>
    <t>ANA Avant Garde - Phase II - Statutory Expenses &amp; Premium Charges</t>
  </si>
  <si>
    <t>Project Development Cost</t>
  </si>
  <si>
    <t>Net Gains to Developer</t>
  </si>
  <si>
    <t>Assumptions</t>
  </si>
  <si>
    <t>Amt</t>
  </si>
  <si>
    <t xml:space="preserve">Type of Agreement </t>
  </si>
  <si>
    <t>Interest Free Refundable Deposit</t>
  </si>
  <si>
    <t>Deposit to Landowner</t>
  </si>
  <si>
    <t>Total Blended Rate</t>
  </si>
  <si>
    <t>Cr</t>
  </si>
  <si>
    <t>Project Period</t>
  </si>
  <si>
    <t>Yrs</t>
  </si>
  <si>
    <t>% of units with car park</t>
  </si>
  <si>
    <t>Starting Sale Price - Resi</t>
  </si>
  <si>
    <t>Starting Sale Price - Comm/Retail</t>
  </si>
  <si>
    <t>Car Park Price</t>
  </si>
  <si>
    <t>Rs/Unit</t>
  </si>
  <si>
    <t>Club Membership Price</t>
  </si>
  <si>
    <t>Sales Growth % YOY</t>
  </si>
  <si>
    <t>Y1</t>
  </si>
  <si>
    <t>Average SP Comm/Retail</t>
  </si>
  <si>
    <t>Average SP Residential</t>
  </si>
  <si>
    <t>Blended Resi/Comm</t>
  </si>
  <si>
    <t>On RERA Carpet</t>
  </si>
  <si>
    <t>Cost Inflation YOY</t>
  </si>
  <si>
    <t>Cost of Construction over project lifecycle</t>
  </si>
  <si>
    <t>Sales , Marketing, Admin, and Overhead Cost</t>
  </si>
  <si>
    <t>Funds Required to Commence Project</t>
  </si>
  <si>
    <t>Deposit</t>
  </si>
  <si>
    <t>Stamp Duty</t>
  </si>
  <si>
    <t>FSI/TDR purchase</t>
  </si>
  <si>
    <t>-</t>
  </si>
  <si>
    <t>Premiums &amp; Approvals</t>
  </si>
  <si>
    <t>On Sales</t>
  </si>
  <si>
    <t>On Construction Cost</t>
  </si>
  <si>
    <t>Int Free Refundable Deposit to Landowner</t>
  </si>
  <si>
    <t>FSI to RERA Carpet (Resi)</t>
  </si>
  <si>
    <t>FSI to RERA Carpet (Comm)</t>
  </si>
  <si>
    <t>Construction Cost Outflow (Cr)</t>
  </si>
  <si>
    <t>Number of Units</t>
  </si>
  <si>
    <t>Car Park Charge/Unit</t>
  </si>
  <si>
    <t>Clubhouse Charge/Unit</t>
  </si>
  <si>
    <t>Total Parking + CH Revenue</t>
  </si>
  <si>
    <t>Total Number of Units</t>
  </si>
  <si>
    <r>
      <t xml:space="preserve">Total Revenues </t>
    </r>
    <r>
      <rPr>
        <sz val="10"/>
        <color theme="1"/>
        <rFont val="Aptos Narrow"/>
        <scheme val="minor"/>
      </rPr>
      <t>(Inclusing Parking + CH)</t>
    </r>
  </si>
  <si>
    <t>Blended RERA Carpet Area to FSI</t>
  </si>
  <si>
    <t>Sr. No.</t>
  </si>
  <si>
    <t>Area</t>
  </si>
  <si>
    <t>Levels</t>
  </si>
  <si>
    <t>Total Area
Sqm</t>
  </si>
  <si>
    <t>Road</t>
  </si>
  <si>
    <t>C</t>
  </si>
  <si>
    <t>Commercial Bldg.</t>
  </si>
  <si>
    <t>Club house Bldg.</t>
  </si>
  <si>
    <t>FSI to Construction Area</t>
  </si>
  <si>
    <t>RERA Carpet to Construction Area</t>
  </si>
  <si>
    <t>Resi+Comm</t>
  </si>
  <si>
    <t>Infra</t>
  </si>
  <si>
    <t>RG Area</t>
  </si>
  <si>
    <t>Pline Area
Sqm</t>
  </si>
  <si>
    <t>Cost Breakup</t>
  </si>
  <si>
    <t>Total RERA Carpet Area</t>
  </si>
  <si>
    <t>Club House Area</t>
  </si>
  <si>
    <t>Podium &amp; Parking Area</t>
  </si>
  <si>
    <t>Total Construction Area</t>
  </si>
  <si>
    <t>Resi+Comm Construction Area</t>
  </si>
  <si>
    <t>Resi Construction Area</t>
  </si>
  <si>
    <t>Comm Construction Area</t>
  </si>
  <si>
    <t>Total Resi Construction Cost</t>
  </si>
  <si>
    <t>Total Comm Construction Cost</t>
  </si>
  <si>
    <t>RERA Carpet to Construction Area - Resi</t>
  </si>
  <si>
    <t>RERA Carpet to Construction Area - Comm</t>
  </si>
  <si>
    <t>Admin &amp; Sales Overheads</t>
  </si>
  <si>
    <t>TOD - Transit Oriented Development (Metro) (New DCR - Sec-14.2)</t>
  </si>
  <si>
    <t>IGR Data</t>
  </si>
  <si>
    <t>Project</t>
  </si>
  <si>
    <t>Registration Date</t>
  </si>
  <si>
    <t>RERA Carpet (Sft)</t>
  </si>
  <si>
    <t>Jp North Aviva</t>
  </si>
  <si>
    <t>Project launched July 2020</t>
  </si>
  <si>
    <t>Jp North Celeste</t>
  </si>
  <si>
    <t>Sunteck Sky Park</t>
  </si>
  <si>
    <t xml:space="preserve">First sale of project on 15 May 2023 </t>
  </si>
  <si>
    <t>Revenue</t>
  </si>
  <si>
    <t>LO</t>
  </si>
  <si>
    <t>Revenue Heads</t>
  </si>
  <si>
    <t>Area/Nos</t>
  </si>
  <si>
    <t>On RERA</t>
  </si>
  <si>
    <t>Rev on Resi</t>
  </si>
  <si>
    <t>Rev on Commercial</t>
  </si>
  <si>
    <t>Nos of Car Parks</t>
  </si>
  <si>
    <t>Club House Chs</t>
  </si>
  <si>
    <t>Total Revenue</t>
  </si>
  <si>
    <t>Cost Details</t>
  </si>
  <si>
    <t>Cost Heads</t>
  </si>
  <si>
    <t>Land Cost</t>
  </si>
  <si>
    <t xml:space="preserve">Liasioning Cost </t>
  </si>
  <si>
    <t>Refer Stat &amp; Premium Working sheet</t>
  </si>
  <si>
    <t>Includes Parking area @1100Rs/Sft</t>
  </si>
  <si>
    <t>SM&amp;OH</t>
  </si>
  <si>
    <t>INT</t>
  </si>
  <si>
    <t>SD</t>
  </si>
  <si>
    <t>Total Cost</t>
  </si>
  <si>
    <t>Net Gains</t>
  </si>
  <si>
    <t>Profit Before Tax (PBT)</t>
  </si>
  <si>
    <t>On Rev Share</t>
  </si>
  <si>
    <t>Dev</t>
  </si>
  <si>
    <t>Feasibility Model Summary</t>
  </si>
  <si>
    <t>Number of Car Parks</t>
  </si>
  <si>
    <t>Car Park &amp; CH Revenue</t>
  </si>
  <si>
    <t>Clubhouse COC</t>
  </si>
  <si>
    <t>Podium &amp; Parking COC</t>
  </si>
  <si>
    <t>Resi - Construction Cost (Incl GST)</t>
  </si>
  <si>
    <t>Comm - Construction Cost (Incl GST)</t>
  </si>
  <si>
    <t>Project Start Date</t>
  </si>
  <si>
    <t>Interest &amp; SD</t>
  </si>
  <si>
    <t>Project IRR</t>
  </si>
  <si>
    <t>Y2</t>
  </si>
  <si>
    <t>Y3</t>
  </si>
  <si>
    <t>Y4</t>
  </si>
  <si>
    <t>Sales Phasing</t>
  </si>
  <si>
    <t>Year 1</t>
  </si>
  <si>
    <t>Q1</t>
  </si>
  <si>
    <t>Q2</t>
  </si>
  <si>
    <t>Q3</t>
  </si>
  <si>
    <t>Q4</t>
  </si>
  <si>
    <t>Year 2</t>
  </si>
  <si>
    <t>Year 3</t>
  </si>
  <si>
    <t>Year 4</t>
  </si>
  <si>
    <t>TOTAL</t>
  </si>
  <si>
    <t>Total Project Inflow</t>
  </si>
  <si>
    <t>DO Inflow CF</t>
  </si>
  <si>
    <t>Developer Cashflow</t>
  </si>
  <si>
    <t>Construction Phasing</t>
  </si>
  <si>
    <t>Project Initiaiton Expense</t>
  </si>
  <si>
    <t>Total Project CF</t>
  </si>
  <si>
    <t>Construction CF</t>
  </si>
  <si>
    <t>Sales CF</t>
  </si>
  <si>
    <t>Refund on Deposit</t>
  </si>
  <si>
    <t>Landowner CF</t>
  </si>
  <si>
    <t>Developer Net Cashflow (Excl Int)</t>
  </si>
  <si>
    <t>Landowner Cashflow</t>
  </si>
  <si>
    <t>Rev Share CF</t>
  </si>
  <si>
    <t>Deposit Adjustment</t>
  </si>
  <si>
    <t>Deposit Inflow</t>
  </si>
  <si>
    <t>LO Net Cashflow</t>
  </si>
  <si>
    <t>Landowner NPV</t>
  </si>
  <si>
    <t>Prpject NPV</t>
  </si>
  <si>
    <t>Project Interest Cost</t>
  </si>
  <si>
    <t>JDA - Revenue Sharing</t>
  </si>
  <si>
    <t>Pline Area as per ACAD Design</t>
  </si>
  <si>
    <t>CP+CH</t>
  </si>
  <si>
    <t>Car Parking (CP) Levels</t>
  </si>
  <si>
    <t>Resi Building Foot Print</t>
  </si>
  <si>
    <t>RERA Carpet to Construction Area - Car Parking</t>
  </si>
  <si>
    <t>Standard Ratio</t>
  </si>
  <si>
    <r>
      <t xml:space="preserve">Con Area
Sft
</t>
    </r>
    <r>
      <rPr>
        <b/>
        <sz val="12"/>
        <color theme="1"/>
        <rFont val="Aptos Narrow"/>
        <scheme val="minor"/>
      </rPr>
      <t>Actual Design</t>
    </r>
  </si>
  <si>
    <r>
      <t xml:space="preserve">Con Area
Sft
</t>
    </r>
    <r>
      <rPr>
        <b/>
        <sz val="12"/>
        <color theme="1"/>
        <rFont val="Aptos Narrow"/>
        <scheme val="minor"/>
      </rPr>
      <t>As per Ratios</t>
    </r>
  </si>
  <si>
    <t>Avg</t>
  </si>
  <si>
    <t>Nos</t>
  </si>
  <si>
    <t>RERA Carpet</t>
  </si>
  <si>
    <t>Land Area</t>
  </si>
  <si>
    <t>Standard Efficiency Ratios</t>
  </si>
  <si>
    <t>Rs/Sft - On 
Con Area</t>
  </si>
  <si>
    <t>Rs/Sft - On 
RERA Carpet</t>
  </si>
  <si>
    <t>Club House</t>
  </si>
  <si>
    <t>Parking Levels</t>
  </si>
  <si>
    <t>Rate - %</t>
  </si>
  <si>
    <t>Developer PBT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</si>
</sst>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0"/>
    <numFmt numFmtId="167" formatCode="_ * #,##0.00_ ;_ * \-#,##0.00_ ;_ * &quot;-&quot;??_ ;_ @_ "/>
    <numFmt numFmtId="168" formatCode="_ * #,##0_ ;_ * \-#,##0_ ;_ * &quot;-&quot;??_ ;_ @_ "/>
    <numFmt numFmtId="169" formatCode="&quot;Commercial Area (15%)&quot;"/>
    <numFmt numFmtId="170" formatCode="&quot;For Residential Area (60%)&quot;"/>
    <numFmt numFmtId="171" formatCode="&quot;For Commercial Area (80%)&quot;"/>
    <numFmt numFmtId="172" formatCode="_ [$₹-439]* #,##0.00_ ;_ [$₹-439]* \-#,##0.00_ ;_ [$₹-439]* &quot;-&quot;??_ ;_ @_ "/>
    <numFmt numFmtId="173" formatCode="_ [$₹-439]* #,##0_ ;_ [$₹-439]* \-#,##0_ ;_ [$₹-439]* &quot;-&quot;??_ ;_ @_ "/>
    <numFmt numFmtId="174" formatCode="0.0%"/>
    <numFmt numFmtId="175" formatCode="_(* #,##0.000_);_(* \(#,##0.000\);_(* &quot;-&quot;??_);_(@_)"/>
    <numFmt numFmtId="176" formatCode="&quot;Residential RERA Carpet Area&quot;"/>
    <numFmt numFmtId="177" formatCode="&quot;Commercial RERA Carpet Area&quot;"/>
  </numFmts>
  <fonts count="4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2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Aptos Narrow"/>
      <scheme val="minor"/>
    </font>
    <font>
      <sz val="10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ptos Narrow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2"/>
      <color theme="1"/>
      <name val="Aptos Narrow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b/>
      <i/>
      <sz val="11"/>
      <color rgb="FFFF0000"/>
      <name val="Aptos Narrow"/>
    </font>
    <font>
      <b/>
      <sz val="12"/>
      <color rgb="FF000000"/>
      <name val="Aptos Narrow"/>
    </font>
    <font>
      <sz val="11"/>
      <color rgb="FFFF0000"/>
      <name val="Aptos Narrow"/>
      <family val="2"/>
    </font>
    <font>
      <sz val="12"/>
      <color theme="1"/>
      <name val="Aptos Narrow"/>
      <family val="2"/>
    </font>
    <font>
      <b/>
      <sz val="11"/>
      <color rgb="FFFF0000"/>
      <name val="Aptos Narrow"/>
    </font>
    <font>
      <b/>
      <sz val="12"/>
      <color rgb="FFFF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D0D0D0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336">
    <xf numFmtId="0" fontId="0" fillId="0" borderId="0" xfId="0"/>
    <xf numFmtId="0" fontId="0" fillId="0" borderId="1" xfId="0" applyBorder="1"/>
    <xf numFmtId="0" fontId="5" fillId="0" borderId="0" xfId="4"/>
    <xf numFmtId="165" fontId="0" fillId="0" borderId="0" xfId="5" applyNumberFormat="1" applyFont="1"/>
    <xf numFmtId="0" fontId="5" fillId="0" borderId="0" xfId="4" applyAlignment="1">
      <alignment horizontal="center"/>
    </xf>
    <xf numFmtId="0" fontId="5" fillId="0" borderId="0" xfId="4" applyAlignment="1">
      <alignment horizontal="center" wrapText="1"/>
    </xf>
    <xf numFmtId="0" fontId="5" fillId="0" borderId="1" xfId="4" applyBorder="1"/>
    <xf numFmtId="0" fontId="5" fillId="0" borderId="1" xfId="4" applyBorder="1" applyAlignment="1">
      <alignment horizontal="center"/>
    </xf>
    <xf numFmtId="164" fontId="5" fillId="0" borderId="1" xfId="4" applyNumberFormat="1" applyBorder="1"/>
    <xf numFmtId="43" fontId="5" fillId="0" borderId="0" xfId="4" applyNumberFormat="1"/>
    <xf numFmtId="0" fontId="5" fillId="0" borderId="0" xfId="4" applyAlignment="1">
      <alignment vertical="center"/>
    </xf>
    <xf numFmtId="43" fontId="0" fillId="0" borderId="0" xfId="5" applyFont="1" applyAlignment="1">
      <alignment vertical="center"/>
    </xf>
    <xf numFmtId="166" fontId="5" fillId="0" borderId="0" xfId="4" applyNumberFormat="1" applyAlignment="1">
      <alignment vertical="center"/>
    </xf>
    <xf numFmtId="2" fontId="8" fillId="0" borderId="0" xfId="4" applyNumberFormat="1" applyFont="1" applyAlignment="1">
      <alignment vertical="center"/>
    </xf>
    <xf numFmtId="0" fontId="5" fillId="0" borderId="0" xfId="4" applyAlignment="1">
      <alignment horizontal="right" vertical="center"/>
    </xf>
    <xf numFmtId="43" fontId="7" fillId="0" borderId="1" xfId="5" applyFont="1" applyBorder="1" applyAlignment="1">
      <alignment vertical="center"/>
    </xf>
    <xf numFmtId="0" fontId="5" fillId="0" borderId="1" xfId="4" applyBorder="1" applyAlignment="1">
      <alignment vertical="center"/>
    </xf>
    <xf numFmtId="43" fontId="0" fillId="0" borderId="1" xfId="5" applyFont="1" applyBorder="1" applyAlignment="1">
      <alignment vertical="center"/>
    </xf>
    <xf numFmtId="0" fontId="5" fillId="0" borderId="1" xfId="4" applyBorder="1" applyAlignment="1">
      <alignment vertical="center" wrapText="1"/>
    </xf>
    <xf numFmtId="0" fontId="5" fillId="0" borderId="9" xfId="4" applyBorder="1" applyAlignment="1">
      <alignment vertical="center"/>
    </xf>
    <xf numFmtId="0" fontId="1" fillId="0" borderId="1" xfId="4" applyFont="1" applyBorder="1" applyAlignment="1">
      <alignment horizontal="center" vertical="center"/>
    </xf>
    <xf numFmtId="43" fontId="1" fillId="0" borderId="1" xfId="5" applyFont="1" applyBorder="1" applyAlignment="1">
      <alignment horizontal="center" vertical="center"/>
    </xf>
    <xf numFmtId="43" fontId="0" fillId="0" borderId="1" xfId="5" applyFont="1" applyBorder="1" applyAlignment="1">
      <alignment horizontal="right" vertical="center"/>
    </xf>
    <xf numFmtId="43" fontId="0" fillId="0" borderId="1" xfId="5" applyFont="1" applyBorder="1" applyAlignment="1">
      <alignment horizontal="center" vertical="center"/>
    </xf>
    <xf numFmtId="0" fontId="5" fillId="0" borderId="1" xfId="4" applyBorder="1" applyAlignment="1">
      <alignment horizontal="right" vertical="center"/>
    </xf>
    <xf numFmtId="0" fontId="10" fillId="0" borderId="0" xfId="4" applyFont="1"/>
    <xf numFmtId="0" fontId="11" fillId="0" borderId="0" xfId="4" applyFont="1"/>
    <xf numFmtId="168" fontId="11" fillId="0" borderId="0" xfId="7" applyNumberFormat="1" applyFont="1" applyBorder="1"/>
    <xf numFmtId="0" fontId="11" fillId="0" borderId="5" xfId="4" applyFont="1" applyBorder="1"/>
    <xf numFmtId="0" fontId="12" fillId="4" borderId="1" xfId="4" applyFont="1" applyFill="1" applyBorder="1"/>
    <xf numFmtId="0" fontId="12" fillId="4" borderId="7" xfId="4" applyFont="1" applyFill="1" applyBorder="1" applyAlignment="1">
      <alignment horizontal="center" wrapText="1"/>
    </xf>
    <xf numFmtId="0" fontId="12" fillId="4" borderId="1" xfId="4" applyFont="1" applyFill="1" applyBorder="1" applyAlignment="1">
      <alignment horizontal="center"/>
    </xf>
    <xf numFmtId="0" fontId="11" fillId="4" borderId="3" xfId="4" applyFont="1" applyFill="1" applyBorder="1"/>
    <xf numFmtId="168" fontId="11" fillId="4" borderId="2" xfId="8" applyNumberFormat="1" applyFont="1" applyFill="1" applyBorder="1"/>
    <xf numFmtId="164" fontId="11" fillId="4" borderId="3" xfId="8" applyNumberFormat="1" applyFont="1" applyFill="1" applyBorder="1"/>
    <xf numFmtId="0" fontId="12" fillId="4" borderId="6" xfId="4" applyFont="1" applyFill="1" applyBorder="1"/>
    <xf numFmtId="168" fontId="12" fillId="4" borderId="6" xfId="8" applyNumberFormat="1" applyFont="1" applyFill="1" applyBorder="1"/>
    <xf numFmtId="164" fontId="12" fillId="4" borderId="6" xfId="8" applyNumberFormat="1" applyFont="1" applyFill="1" applyBorder="1"/>
    <xf numFmtId="9" fontId="12" fillId="4" borderId="6" xfId="6" applyFont="1" applyFill="1" applyBorder="1"/>
    <xf numFmtId="9" fontId="11" fillId="4" borderId="3" xfId="6" applyFont="1" applyFill="1" applyBorder="1"/>
    <xf numFmtId="0" fontId="12" fillId="5" borderId="11" xfId="4" applyFont="1" applyFill="1" applyBorder="1" applyAlignment="1">
      <alignment vertical="center"/>
    </xf>
    <xf numFmtId="17" fontId="12" fillId="5" borderId="12" xfId="4" applyNumberFormat="1" applyFont="1" applyFill="1" applyBorder="1" applyAlignment="1">
      <alignment vertical="center"/>
    </xf>
    <xf numFmtId="17" fontId="12" fillId="5" borderId="12" xfId="4" applyNumberFormat="1" applyFont="1" applyFill="1" applyBorder="1" applyAlignment="1">
      <alignment horizontal="center" vertical="center"/>
    </xf>
    <xf numFmtId="0" fontId="12" fillId="5" borderId="13" xfId="4" applyFont="1" applyFill="1" applyBorder="1" applyAlignment="1">
      <alignment vertical="center"/>
    </xf>
    <xf numFmtId="17" fontId="12" fillId="5" borderId="6" xfId="4" applyNumberFormat="1" applyFont="1" applyFill="1" applyBorder="1" applyAlignment="1">
      <alignment vertical="center"/>
    </xf>
    <xf numFmtId="17" fontId="12" fillId="5" borderId="6" xfId="4" applyNumberFormat="1" applyFont="1" applyFill="1" applyBorder="1" applyAlignment="1">
      <alignment horizontal="center" vertical="center"/>
    </xf>
    <xf numFmtId="0" fontId="11" fillId="0" borderId="14" xfId="4" applyFont="1" applyBorder="1"/>
    <xf numFmtId="164" fontId="11" fillId="0" borderId="15" xfId="7" applyNumberFormat="1" applyFont="1" applyBorder="1"/>
    <xf numFmtId="168" fontId="11" fillId="0" borderId="15" xfId="7" applyNumberFormat="1" applyFont="1" applyBorder="1"/>
    <xf numFmtId="9" fontId="11" fillId="0" borderId="15" xfId="6" applyFont="1" applyBorder="1"/>
    <xf numFmtId="0" fontId="11" fillId="0" borderId="16" xfId="4" applyFont="1" applyBorder="1"/>
    <xf numFmtId="164" fontId="11" fillId="0" borderId="3" xfId="7" applyNumberFormat="1" applyFont="1" applyBorder="1"/>
    <xf numFmtId="168" fontId="11" fillId="0" borderId="3" xfId="7" applyNumberFormat="1" applyFont="1" applyBorder="1"/>
    <xf numFmtId="0" fontId="12" fillId="0" borderId="11" xfId="4" applyFont="1" applyBorder="1"/>
    <xf numFmtId="164" fontId="12" fillId="0" borderId="12" xfId="7" applyNumberFormat="1" applyFont="1" applyBorder="1"/>
    <xf numFmtId="3" fontId="12" fillId="0" borderId="12" xfId="4" applyNumberFormat="1" applyFont="1" applyBorder="1"/>
    <xf numFmtId="0" fontId="11" fillId="0" borderId="17" xfId="4" applyFont="1" applyBorder="1"/>
    <xf numFmtId="0" fontId="11" fillId="0" borderId="12" xfId="4" applyFont="1" applyBorder="1"/>
    <xf numFmtId="0" fontId="11" fillId="0" borderId="18" xfId="4" applyFont="1" applyBorder="1"/>
    <xf numFmtId="164" fontId="11" fillId="0" borderId="1" xfId="7" applyNumberFormat="1" applyFont="1" applyBorder="1"/>
    <xf numFmtId="164" fontId="11" fillId="0" borderId="12" xfId="7" applyNumberFormat="1" applyFont="1" applyBorder="1"/>
    <xf numFmtId="0" fontId="11" fillId="0" borderId="19" xfId="4" applyFont="1" applyBorder="1"/>
    <xf numFmtId="0" fontId="11" fillId="0" borderId="9" xfId="4" applyFont="1" applyBorder="1"/>
    <xf numFmtId="164" fontId="11" fillId="0" borderId="1" xfId="4" applyNumberFormat="1" applyFont="1" applyBorder="1"/>
    <xf numFmtId="0" fontId="11" fillId="0" borderId="1" xfId="4" applyFont="1" applyBorder="1"/>
    <xf numFmtId="9" fontId="11" fillId="0" borderId="1" xfId="6" applyFont="1" applyBorder="1"/>
    <xf numFmtId="0" fontId="11" fillId="0" borderId="18" xfId="7" applyNumberFormat="1" applyFont="1" applyBorder="1" applyAlignment="1"/>
    <xf numFmtId="0" fontId="11" fillId="0" borderId="14" xfId="7" applyNumberFormat="1" applyFont="1" applyBorder="1" applyAlignment="1"/>
    <xf numFmtId="164" fontId="11" fillId="0" borderId="19" xfId="7" applyNumberFormat="1" applyFont="1" applyBorder="1" applyAlignment="1"/>
    <xf numFmtId="164" fontId="11" fillId="0" borderId="9" xfId="7" applyNumberFormat="1" applyFont="1" applyBorder="1"/>
    <xf numFmtId="9" fontId="11" fillId="0" borderId="1" xfId="4" applyNumberFormat="1" applyFont="1" applyBorder="1"/>
    <xf numFmtId="167" fontId="11" fillId="0" borderId="15" xfId="7" applyFont="1" applyBorder="1"/>
    <xf numFmtId="0" fontId="11" fillId="0" borderId="20" xfId="4" applyFont="1" applyBorder="1"/>
    <xf numFmtId="164" fontId="11" fillId="0" borderId="21" xfId="7" applyNumberFormat="1" applyFont="1" applyBorder="1"/>
    <xf numFmtId="167" fontId="11" fillId="0" borderId="21" xfId="7" applyFont="1" applyBorder="1"/>
    <xf numFmtId="164" fontId="11" fillId="0" borderId="22" xfId="7" applyNumberFormat="1" applyFont="1" applyBorder="1"/>
    <xf numFmtId="9" fontId="12" fillId="0" borderId="1" xfId="4" applyNumberFormat="1" applyFont="1" applyBorder="1"/>
    <xf numFmtId="3" fontId="12" fillId="0" borderId="1" xfId="4" applyNumberFormat="1" applyFont="1" applyBorder="1"/>
    <xf numFmtId="0" fontId="14" fillId="0" borderId="0" xfId="9" applyFont="1"/>
    <xf numFmtId="168" fontId="14" fillId="0" borderId="0" xfId="10" applyNumberFormat="1" applyFont="1"/>
    <xf numFmtId="167" fontId="14" fillId="0" borderId="0" xfId="10" applyFont="1"/>
    <xf numFmtId="0" fontId="14" fillId="0" borderId="0" xfId="9" applyFont="1" applyAlignment="1">
      <alignment horizontal="center"/>
    </xf>
    <xf numFmtId="0" fontId="14" fillId="0" borderId="0" xfId="9" applyFont="1" applyAlignment="1">
      <alignment vertical="center"/>
    </xf>
    <xf numFmtId="0" fontId="15" fillId="0" borderId="0" xfId="9" applyFont="1"/>
    <xf numFmtId="164" fontId="15" fillId="0" borderId="0" xfId="5" applyNumberFormat="1" applyFont="1"/>
    <xf numFmtId="0" fontId="15" fillId="0" borderId="1" xfId="9" applyFont="1" applyBorder="1"/>
    <xf numFmtId="168" fontId="15" fillId="0" borderId="1" xfId="10" applyNumberFormat="1" applyFont="1" applyBorder="1"/>
    <xf numFmtId="167" fontId="15" fillId="0" borderId="1" xfId="10" applyFont="1" applyBorder="1"/>
    <xf numFmtId="0" fontId="15" fillId="0" borderId="1" xfId="9" applyFont="1" applyBorder="1" applyAlignment="1">
      <alignment horizontal="center"/>
    </xf>
    <xf numFmtId="0" fontId="15" fillId="0" borderId="1" xfId="9" applyFont="1" applyBorder="1" applyAlignment="1">
      <alignment horizontal="center" vertical="top"/>
    </xf>
    <xf numFmtId="0" fontId="15" fillId="0" borderId="10" xfId="9" applyFont="1" applyBorder="1" applyAlignment="1">
      <alignment horizontal="left" vertical="center"/>
    </xf>
    <xf numFmtId="168" fontId="15" fillId="0" borderId="1" xfId="10" applyNumberFormat="1" applyFont="1" applyBorder="1" applyAlignment="1">
      <alignment horizontal="left" vertical="top"/>
    </xf>
    <xf numFmtId="164" fontId="14" fillId="0" borderId="0" xfId="5" applyNumberFormat="1" applyFont="1"/>
    <xf numFmtId="0" fontId="14" fillId="0" borderId="1" xfId="9" applyFont="1" applyBorder="1"/>
    <xf numFmtId="168" fontId="14" fillId="0" borderId="1" xfId="10" applyNumberFormat="1" applyFont="1" applyBorder="1"/>
    <xf numFmtId="167" fontId="14" fillId="0" borderId="1" xfId="10" applyFont="1" applyBorder="1"/>
    <xf numFmtId="0" fontId="14" fillId="0" borderId="1" xfId="9" applyFont="1" applyBorder="1" applyAlignment="1">
      <alignment horizontal="center"/>
    </xf>
    <xf numFmtId="0" fontId="14" fillId="0" borderId="1" xfId="9" applyFont="1" applyBorder="1" applyAlignment="1">
      <alignment horizontal="center" vertical="top"/>
    </xf>
    <xf numFmtId="0" fontId="14" fillId="0" borderId="1" xfId="9" applyFont="1" applyBorder="1" applyAlignment="1">
      <alignment horizontal="left" vertical="center"/>
    </xf>
    <xf numFmtId="168" fontId="14" fillId="0" borderId="1" xfId="10" applyNumberFormat="1" applyFont="1" applyBorder="1" applyAlignment="1">
      <alignment horizontal="left" vertical="top"/>
    </xf>
    <xf numFmtId="0" fontId="14" fillId="0" borderId="1" xfId="9" applyFont="1" applyBorder="1" applyAlignment="1">
      <alignment wrapText="1"/>
    </xf>
    <xf numFmtId="10" fontId="14" fillId="0" borderId="1" xfId="11" applyNumberFormat="1" applyFont="1" applyBorder="1"/>
    <xf numFmtId="0" fontId="14" fillId="0" borderId="1" xfId="9" applyFont="1" applyBorder="1" applyAlignment="1">
      <alignment horizontal="center" vertical="center"/>
    </xf>
    <xf numFmtId="0" fontId="14" fillId="0" borderId="1" xfId="9" applyFont="1" applyBorder="1" applyAlignment="1">
      <alignment horizontal="right" vertical="center"/>
    </xf>
    <xf numFmtId="0" fontId="14" fillId="0" borderId="1" xfId="9" quotePrefix="1" applyFont="1" applyBorder="1" applyAlignment="1">
      <alignment horizontal="center" vertical="top"/>
    </xf>
    <xf numFmtId="0" fontId="14" fillId="0" borderId="1" xfId="9" quotePrefix="1" applyFont="1" applyBorder="1" applyAlignment="1">
      <alignment horizontal="right" vertical="center"/>
    </xf>
    <xf numFmtId="0" fontId="15" fillId="0" borderId="0" xfId="9" applyFont="1" applyAlignment="1">
      <alignment horizontal="center"/>
    </xf>
    <xf numFmtId="168" fontId="15" fillId="0" borderId="1" xfId="10" applyNumberFormat="1" applyFont="1" applyFill="1" applyBorder="1" applyAlignment="1">
      <alignment horizontal="center" vertical="top"/>
    </xf>
    <xf numFmtId="167" fontId="15" fillId="0" borderId="1" xfId="10" applyFont="1" applyBorder="1" applyAlignment="1">
      <alignment horizontal="center" vertical="top"/>
    </xf>
    <xf numFmtId="0" fontId="15" fillId="0" borderId="1" xfId="9" applyFont="1" applyBorder="1" applyAlignment="1">
      <alignment horizontal="center" vertical="center"/>
    </xf>
    <xf numFmtId="168" fontId="15" fillId="0" borderId="1" xfId="10" applyNumberFormat="1" applyFont="1" applyBorder="1" applyAlignment="1">
      <alignment horizontal="center" vertical="top"/>
    </xf>
    <xf numFmtId="168" fontId="15" fillId="0" borderId="0" xfId="10" applyNumberFormat="1" applyFont="1"/>
    <xf numFmtId="15" fontId="14" fillId="0" borderId="0" xfId="9" applyNumberFormat="1" applyFont="1" applyAlignment="1">
      <alignment horizontal="center"/>
    </xf>
    <xf numFmtId="9" fontId="5" fillId="0" borderId="0" xfId="2" applyFont="1" applyAlignment="1">
      <alignment vertical="center"/>
    </xf>
    <xf numFmtId="169" fontId="5" fillId="0" borderId="1" xfId="4" applyNumberFormat="1" applyBorder="1" applyAlignment="1">
      <alignment horizontal="right" vertical="center"/>
    </xf>
    <xf numFmtId="170" fontId="5" fillId="0" borderId="1" xfId="4" applyNumberFormat="1" applyBorder="1" applyAlignment="1">
      <alignment horizontal="right" vertical="center"/>
    </xf>
    <xf numFmtId="171" fontId="5" fillId="0" borderId="1" xfId="4" applyNumberFormat="1" applyBorder="1" applyAlignment="1">
      <alignment horizontal="right" vertical="center"/>
    </xf>
    <xf numFmtId="168" fontId="12" fillId="4" borderId="1" xfId="8" applyNumberFormat="1" applyFont="1" applyFill="1" applyBorder="1"/>
    <xf numFmtId="164" fontId="12" fillId="4" borderId="1" xfId="8" applyNumberFormat="1" applyFont="1" applyFill="1" applyBorder="1"/>
    <xf numFmtId="9" fontId="12" fillId="4" borderId="1" xfId="6" applyFont="1" applyFill="1" applyBorder="1"/>
    <xf numFmtId="0" fontId="18" fillId="0" borderId="0" xfId="0" applyFont="1"/>
    <xf numFmtId="9" fontId="0" fillId="0" borderId="0" xfId="0" applyNumberFormat="1"/>
    <xf numFmtId="9" fontId="11" fillId="4" borderId="3" xfId="2" applyFont="1" applyFill="1" applyBorder="1"/>
    <xf numFmtId="9" fontId="2" fillId="6" borderId="0" xfId="0" applyNumberFormat="1" applyFont="1" applyFill="1"/>
    <xf numFmtId="173" fontId="2" fillId="6" borderId="0" xfId="0" applyNumberFormat="1" applyFont="1" applyFill="1"/>
    <xf numFmtId="168" fontId="11" fillId="4" borderId="1" xfId="8" applyNumberFormat="1" applyFont="1" applyFill="1" applyBorder="1"/>
    <xf numFmtId="164" fontId="11" fillId="0" borderId="0" xfId="4" applyNumberFormat="1" applyFont="1"/>
    <xf numFmtId="10" fontId="5" fillId="0" borderId="0" xfId="4" applyNumberFormat="1"/>
    <xf numFmtId="0" fontId="18" fillId="2" borderId="0" xfId="0" applyFont="1" applyFill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horizontal="center"/>
    </xf>
    <xf numFmtId="9" fontId="11" fillId="0" borderId="0" xfId="6" applyFont="1" applyBorder="1"/>
    <xf numFmtId="0" fontId="11" fillId="0" borderId="5" xfId="6" applyNumberFormat="1" applyFont="1" applyBorder="1"/>
    <xf numFmtId="9" fontId="5" fillId="0" borderId="0" xfId="4" applyNumberFormat="1" applyAlignment="1">
      <alignment horizontal="center"/>
    </xf>
    <xf numFmtId="0" fontId="4" fillId="0" borderId="1" xfId="4" applyFont="1" applyBorder="1"/>
    <xf numFmtId="164" fontId="16" fillId="0" borderId="1" xfId="5" applyNumberFormat="1" applyFont="1" applyBorder="1" applyAlignment="1">
      <alignment vertical="center"/>
    </xf>
    <xf numFmtId="0" fontId="4" fillId="0" borderId="1" xfId="4" applyFont="1" applyBorder="1" applyAlignment="1">
      <alignment vertical="center"/>
    </xf>
    <xf numFmtId="43" fontId="0" fillId="0" borderId="0" xfId="0" applyNumberFormat="1"/>
    <xf numFmtId="9" fontId="0" fillId="0" borderId="0" xfId="2" applyFont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167" fontId="22" fillId="0" borderId="1" xfId="7" applyFont="1" applyBorder="1"/>
    <xf numFmtId="168" fontId="22" fillId="0" borderId="1" xfId="7" applyNumberFormat="1" applyFont="1" applyBorder="1"/>
    <xf numFmtId="168" fontId="0" fillId="0" borderId="1" xfId="7" applyNumberFormat="1" applyFont="1" applyBorder="1"/>
    <xf numFmtId="0" fontId="10" fillId="0" borderId="1" xfId="0" applyFont="1" applyBorder="1"/>
    <xf numFmtId="0" fontId="23" fillId="0" borderId="1" xfId="0" applyFont="1" applyBorder="1"/>
    <xf numFmtId="167" fontId="10" fillId="0" borderId="1" xfId="0" applyNumberFormat="1" applyFont="1" applyBorder="1"/>
    <xf numFmtId="168" fontId="10" fillId="0" borderId="1" xfId="7" applyNumberFormat="1" applyFont="1" applyBorder="1"/>
    <xf numFmtId="0" fontId="22" fillId="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7" fontId="23" fillId="0" borderId="1" xfId="7" applyFont="1" applyBorder="1"/>
    <xf numFmtId="168" fontId="23" fillId="0" borderId="1" xfId="7" applyNumberFormat="1" applyFont="1" applyBorder="1"/>
    <xf numFmtId="168" fontId="3" fillId="0" borderId="1" xfId="7" applyNumberFormat="1" applyFont="1" applyBorder="1"/>
    <xf numFmtId="0" fontId="10" fillId="0" borderId="0" xfId="4" applyFont="1" applyAlignment="1">
      <alignment horizontal="center"/>
    </xf>
    <xf numFmtId="165" fontId="3" fillId="0" borderId="0" xfId="5" applyNumberFormat="1" applyFont="1"/>
    <xf numFmtId="168" fontId="3" fillId="0" borderId="1" xfId="0" applyNumberFormat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5" fillId="0" borderId="0" xfId="4" applyAlignment="1">
      <alignment horizontal="center" vertical="center"/>
    </xf>
    <xf numFmtId="168" fontId="5" fillId="0" borderId="0" xfId="4" applyNumberFormat="1" applyAlignment="1">
      <alignment vertical="center"/>
    </xf>
    <xf numFmtId="9" fontId="2" fillId="6" borderId="1" xfId="2" applyFont="1" applyFill="1" applyBorder="1"/>
    <xf numFmtId="9" fontId="0" fillId="0" borderId="1" xfId="0" applyNumberFormat="1" applyBorder="1"/>
    <xf numFmtId="176" fontId="4" fillId="0" borderId="1" xfId="4" applyNumberFormat="1" applyFont="1" applyBorder="1" applyAlignment="1">
      <alignment horizontal="left" vertical="center"/>
    </xf>
    <xf numFmtId="177" fontId="4" fillId="0" borderId="1" xfId="4" applyNumberFormat="1" applyFont="1" applyBorder="1" applyAlignment="1">
      <alignment horizontal="left" vertical="center"/>
    </xf>
    <xf numFmtId="164" fontId="5" fillId="0" borderId="1" xfId="1" applyNumberFormat="1" applyFont="1" applyBorder="1"/>
    <xf numFmtId="43" fontId="2" fillId="6" borderId="1" xfId="1" applyFont="1" applyFill="1" applyBorder="1"/>
    <xf numFmtId="164" fontId="0" fillId="0" borderId="0" xfId="1" applyNumberFormat="1" applyFont="1"/>
    <xf numFmtId="164" fontId="7" fillId="6" borderId="0" xfId="5" applyNumberFormat="1" applyFont="1" applyFill="1" applyAlignment="1">
      <alignment vertical="center"/>
    </xf>
    <xf numFmtId="0" fontId="25" fillId="7" borderId="0" xfId="4" applyFont="1" applyFill="1" applyAlignment="1">
      <alignment horizontal="left"/>
    </xf>
    <xf numFmtId="0" fontId="25" fillId="7" borderId="0" xfId="4" applyFont="1" applyFill="1"/>
    <xf numFmtId="0" fontId="25" fillId="7" borderId="0" xfId="4" applyFont="1" applyFill="1" applyAlignment="1">
      <alignment horizontal="center"/>
    </xf>
    <xf numFmtId="0" fontId="25" fillId="7" borderId="0" xfId="4" applyFont="1" applyFill="1" applyAlignment="1">
      <alignment horizontal="center" vertical="center"/>
    </xf>
    <xf numFmtId="15" fontId="25" fillId="7" borderId="0" xfId="4" applyNumberFormat="1" applyFont="1" applyFill="1"/>
    <xf numFmtId="0" fontId="22" fillId="0" borderId="0" xfId="4" applyFont="1"/>
    <xf numFmtId="164" fontId="22" fillId="0" borderId="0" xfId="8" applyNumberFormat="1" applyFont="1"/>
    <xf numFmtId="0" fontId="22" fillId="0" borderId="0" xfId="4" applyFont="1" applyAlignment="1">
      <alignment horizontal="center" vertical="center"/>
    </xf>
    <xf numFmtId="43" fontId="22" fillId="0" borderId="0" xfId="4" applyNumberFormat="1" applyFont="1"/>
    <xf numFmtId="0" fontId="26" fillId="3" borderId="0" xfId="4" applyFont="1" applyFill="1" applyAlignment="1">
      <alignment horizontal="left" vertical="center"/>
    </xf>
    <xf numFmtId="0" fontId="23" fillId="3" borderId="0" xfId="4" applyFont="1" applyFill="1"/>
    <xf numFmtId="0" fontId="23" fillId="3" borderId="0" xfId="4" applyFont="1" applyFill="1" applyAlignment="1">
      <alignment horizontal="center" vertical="center"/>
    </xf>
    <xf numFmtId="0" fontId="23" fillId="0" borderId="0" xfId="4" applyFont="1"/>
    <xf numFmtId="164" fontId="23" fillId="0" borderId="0" xfId="8" applyNumberFormat="1" applyFont="1"/>
    <xf numFmtId="0" fontId="23" fillId="8" borderId="1" xfId="4" applyFont="1" applyFill="1" applyBorder="1" applyAlignment="1">
      <alignment horizontal="center" vertical="center" wrapText="1"/>
    </xf>
    <xf numFmtId="0" fontId="23" fillId="0" borderId="0" xfId="4" applyFont="1" applyAlignment="1">
      <alignment vertical="center" wrapText="1"/>
    </xf>
    <xf numFmtId="15" fontId="5" fillId="0" borderId="1" xfId="4" applyNumberFormat="1" applyBorder="1"/>
    <xf numFmtId="164" fontId="0" fillId="0" borderId="1" xfId="5" applyNumberFormat="1" applyFont="1" applyBorder="1"/>
    <xf numFmtId="164" fontId="22" fillId="0" borderId="1" xfId="8" applyNumberFormat="1" applyFont="1" applyBorder="1"/>
    <xf numFmtId="0" fontId="23" fillId="8" borderId="1" xfId="4" applyFont="1" applyFill="1" applyBorder="1" applyAlignment="1">
      <alignment horizontal="center" vertical="center"/>
    </xf>
    <xf numFmtId="0" fontId="23" fillId="8" borderId="1" xfId="4" applyFont="1" applyFill="1" applyBorder="1"/>
    <xf numFmtId="164" fontId="23" fillId="8" borderId="1" xfId="8" applyNumberFormat="1" applyFont="1" applyFill="1" applyBorder="1"/>
    <xf numFmtId="0" fontId="23" fillId="3" borderId="1" xfId="4" applyFont="1" applyFill="1" applyBorder="1" applyAlignment="1">
      <alignment horizontal="center" vertical="center"/>
    </xf>
    <xf numFmtId="0" fontId="23" fillId="8" borderId="1" xfId="4" applyFont="1" applyFill="1" applyBorder="1" applyAlignment="1">
      <alignment horizont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/>
    <xf numFmtId="164" fontId="22" fillId="0" borderId="1" xfId="4" applyNumberFormat="1" applyFont="1" applyBorder="1" applyAlignment="1">
      <alignment horizontal="center"/>
    </xf>
    <xf numFmtId="0" fontId="22" fillId="0" borderId="1" xfId="4" applyFont="1" applyBorder="1" applyAlignment="1">
      <alignment horizontal="center"/>
    </xf>
    <xf numFmtId="0" fontId="22" fillId="0" borderId="0" xfId="4" applyFont="1" applyAlignment="1">
      <alignment horizontal="center"/>
    </xf>
    <xf numFmtId="164" fontId="22" fillId="0" borderId="1" xfId="4" applyNumberFormat="1" applyFont="1" applyBorder="1"/>
    <xf numFmtId="164" fontId="27" fillId="0" borderId="1" xfId="4" applyNumberFormat="1" applyFont="1" applyBorder="1"/>
    <xf numFmtId="9" fontId="28" fillId="0" borderId="1" xfId="4" applyNumberFormat="1" applyFont="1" applyBorder="1"/>
    <xf numFmtId="164" fontId="22" fillId="0" borderId="1" xfId="4" applyNumberFormat="1" applyFont="1" applyBorder="1" applyAlignment="1">
      <alignment horizontal="left"/>
    </xf>
    <xf numFmtId="0" fontId="23" fillId="0" borderId="1" xfId="4" applyFont="1" applyBorder="1"/>
    <xf numFmtId="175" fontId="23" fillId="0" borderId="1" xfId="4" applyNumberFormat="1" applyFont="1" applyBorder="1"/>
    <xf numFmtId="164" fontId="23" fillId="0" borderId="1" xfId="4" applyNumberFormat="1" applyFont="1" applyBorder="1"/>
    <xf numFmtId="0" fontId="29" fillId="0" borderId="1" xfId="4" applyFont="1" applyBorder="1" applyAlignment="1">
      <alignment horizontal="center" vertical="center"/>
    </xf>
    <xf numFmtId="164" fontId="29" fillId="0" borderId="1" xfId="4" applyNumberFormat="1" applyFont="1" applyBorder="1"/>
    <xf numFmtId="164" fontId="23" fillId="0" borderId="1" xfId="8" applyNumberFormat="1" applyFont="1" applyBorder="1" applyAlignment="1">
      <alignment horizontal="center"/>
    </xf>
    <xf numFmtId="0" fontId="27" fillId="0" borderId="0" xfId="4" applyFont="1"/>
    <xf numFmtId="0" fontId="29" fillId="3" borderId="0" xfId="4" applyFont="1" applyFill="1"/>
    <xf numFmtId="0" fontId="29" fillId="8" borderId="1" xfId="4" applyFont="1" applyFill="1" applyBorder="1" applyAlignment="1">
      <alignment horizontal="center"/>
    </xf>
    <xf numFmtId="164" fontId="27" fillId="0" borderId="1" xfId="8" applyNumberFormat="1" applyFont="1" applyBorder="1" applyAlignment="1">
      <alignment horizontal="center" vertical="center"/>
    </xf>
    <xf numFmtId="164" fontId="22" fillId="0" borderId="1" xfId="8" applyNumberFormat="1" applyFont="1" applyBorder="1" applyAlignment="1">
      <alignment horizontal="center"/>
    </xf>
    <xf numFmtId="0" fontId="22" fillId="0" borderId="1" xfId="4" quotePrefix="1" applyFont="1" applyBorder="1"/>
    <xf numFmtId="164" fontId="22" fillId="0" borderId="0" xfId="4" applyNumberFormat="1" applyFont="1"/>
    <xf numFmtId="43" fontId="22" fillId="0" borderId="1" xfId="8" applyFont="1" applyBorder="1"/>
    <xf numFmtId="174" fontId="27" fillId="0" borderId="1" xfId="6" applyNumberFormat="1" applyFont="1" applyBorder="1" applyAlignment="1">
      <alignment horizontal="right" vertical="center"/>
    </xf>
    <xf numFmtId="164" fontId="22" fillId="0" borderId="1" xfId="5" applyNumberFormat="1" applyFont="1" applyBorder="1"/>
    <xf numFmtId="0" fontId="23" fillId="0" borderId="1" xfId="4" applyFont="1" applyBorder="1" applyAlignment="1">
      <alignment horizontal="center" vertical="center"/>
    </xf>
    <xf numFmtId="164" fontId="23" fillId="0" borderId="1" xfId="5" applyNumberFormat="1" applyFont="1" applyBorder="1"/>
    <xf numFmtId="164" fontId="23" fillId="0" borderId="0" xfId="4" applyNumberFormat="1" applyFont="1"/>
    <xf numFmtId="168" fontId="25" fillId="7" borderId="0" xfId="12" applyNumberFormat="1" applyFont="1" applyFill="1" applyAlignment="1">
      <alignment horizontal="center" vertical="center"/>
    </xf>
    <xf numFmtId="9" fontId="25" fillId="7" borderId="0" xfId="6" applyFont="1" applyFill="1" applyAlignment="1">
      <alignment horizontal="right" vertical="center"/>
    </xf>
    <xf numFmtId="0" fontId="23" fillId="0" borderId="0" xfId="4" applyFont="1" applyAlignment="1">
      <alignment horizontal="center" vertical="center"/>
    </xf>
    <xf numFmtId="168" fontId="27" fillId="0" borderId="0" xfId="4" applyNumberFormat="1" applyFont="1"/>
    <xf numFmtId="0" fontId="27" fillId="0" borderId="0" xfId="4" applyFont="1" applyAlignment="1">
      <alignment horizontal="center" vertical="center"/>
    </xf>
    <xf numFmtId="164" fontId="27" fillId="0" borderId="0" xfId="4" applyNumberFormat="1" applyFont="1"/>
    <xf numFmtId="9" fontId="22" fillId="0" borderId="0" xfId="4" applyNumberFormat="1" applyFont="1"/>
    <xf numFmtId="168" fontId="22" fillId="0" borderId="0" xfId="4" applyNumberFormat="1" applyFont="1"/>
    <xf numFmtId="9" fontId="30" fillId="0" borderId="0" xfId="4" applyNumberFormat="1" applyFont="1"/>
    <xf numFmtId="168" fontId="30" fillId="0" borderId="0" xfId="4" applyNumberFormat="1" applyFont="1"/>
    <xf numFmtId="17" fontId="2" fillId="6" borderId="0" xfId="0" applyNumberFormat="1" applyFont="1" applyFill="1"/>
    <xf numFmtId="0" fontId="17" fillId="0" borderId="18" xfId="4" applyFont="1" applyBorder="1"/>
    <xf numFmtId="164" fontId="17" fillId="0" borderId="1" xfId="4" applyNumberFormat="1" applyFont="1" applyBorder="1"/>
    <xf numFmtId="0" fontId="17" fillId="0" borderId="1" xfId="4" applyFont="1" applyBorder="1"/>
    <xf numFmtId="9" fontId="17" fillId="0" borderId="1" xfId="6" applyFont="1" applyBorder="1"/>
    <xf numFmtId="0" fontId="31" fillId="0" borderId="1" xfId="4" applyFont="1" applyBorder="1"/>
    <xf numFmtId="0" fontId="32" fillId="0" borderId="1" xfId="4" applyFont="1" applyBorder="1"/>
    <xf numFmtId="164" fontId="31" fillId="0" borderId="1" xfId="1" applyNumberFormat="1" applyFont="1" applyBorder="1"/>
    <xf numFmtId="164" fontId="0" fillId="0" borderId="1" xfId="1" applyNumberFormat="1" applyFont="1" applyBorder="1"/>
    <xf numFmtId="164" fontId="18" fillId="0" borderId="1" xfId="1" applyNumberFormat="1" applyFont="1" applyBorder="1"/>
    <xf numFmtId="8" fontId="22" fillId="0" borderId="0" xfId="4" applyNumberFormat="1" applyFont="1"/>
    <xf numFmtId="8" fontId="0" fillId="0" borderId="0" xfId="0" applyNumberFormat="1"/>
    <xf numFmtId="164" fontId="0" fillId="0" borderId="0" xfId="0" applyNumberFormat="1"/>
    <xf numFmtId="0" fontId="14" fillId="0" borderId="4" xfId="4" applyFont="1" applyBorder="1"/>
    <xf numFmtId="9" fontId="14" fillId="0" borderId="4" xfId="4" applyNumberFormat="1" applyFont="1" applyBorder="1"/>
    <xf numFmtId="174" fontId="14" fillId="0" borderId="4" xfId="4" applyNumberFormat="1" applyFont="1" applyBorder="1"/>
    <xf numFmtId="0" fontId="14" fillId="0" borderId="9" xfId="4" applyFont="1" applyBorder="1"/>
    <xf numFmtId="0" fontId="15" fillId="0" borderId="4" xfId="4" applyFont="1" applyBorder="1"/>
    <xf numFmtId="9" fontId="33" fillId="6" borderId="4" xfId="4" applyNumberFormat="1" applyFont="1" applyFill="1" applyBorder="1"/>
    <xf numFmtId="0" fontId="6" fillId="6" borderId="0" xfId="4" applyFont="1" applyFill="1"/>
    <xf numFmtId="9" fontId="18" fillId="0" borderId="0" xfId="0" applyNumberFormat="1" applyFont="1"/>
    <xf numFmtId="0" fontId="34" fillId="0" borderId="0" xfId="0" applyFont="1"/>
    <xf numFmtId="164" fontId="18" fillId="0" borderId="0" xfId="1" applyNumberFormat="1" applyFont="1"/>
    <xf numFmtId="164" fontId="2" fillId="6" borderId="1" xfId="1" applyNumberFormat="1" applyFont="1" applyFill="1" applyBorder="1"/>
    <xf numFmtId="164" fontId="6" fillId="6" borderId="1" xfId="1" applyNumberFormat="1" applyFont="1" applyFill="1" applyBorder="1"/>
    <xf numFmtId="43" fontId="2" fillId="6" borderId="1" xfId="5" applyFont="1" applyFill="1" applyBorder="1" applyAlignment="1">
      <alignment vertical="center"/>
    </xf>
    <xf numFmtId="43" fontId="20" fillId="0" borderId="1" xfId="5" applyFont="1" applyFill="1" applyBorder="1" applyAlignment="1">
      <alignment vertical="center"/>
    </xf>
    <xf numFmtId="172" fontId="18" fillId="0" borderId="0" xfId="0" applyNumberFormat="1" applyFont="1"/>
    <xf numFmtId="164" fontId="24" fillId="6" borderId="0" xfId="1" applyNumberFormat="1" applyFont="1" applyFill="1"/>
    <xf numFmtId="0" fontId="4" fillId="0" borderId="0" xfId="4" applyFont="1" applyAlignment="1">
      <alignment vertical="center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43" fontId="2" fillId="6" borderId="0" xfId="5" applyFont="1" applyFill="1" applyBorder="1" applyAlignment="1">
      <alignment vertical="center"/>
    </xf>
    <xf numFmtId="10" fontId="2" fillId="6" borderId="0" xfId="2" applyNumberFormat="1" applyFont="1" applyFill="1" applyBorder="1" applyAlignment="1">
      <alignment vertical="center"/>
    </xf>
    <xf numFmtId="0" fontId="36" fillId="9" borderId="1" xfId="4" applyFont="1" applyFill="1" applyBorder="1" applyAlignment="1">
      <alignment horizontal="center" wrapText="1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7" fillId="0" borderId="1" xfId="4" applyFont="1" applyBorder="1" applyAlignment="1">
      <alignment horizontal="center" wrapText="1"/>
    </xf>
    <xf numFmtId="0" fontId="36" fillId="0" borderId="1" xfId="4" applyFont="1" applyBorder="1"/>
    <xf numFmtId="0" fontId="35" fillId="0" borderId="1" xfId="4" applyFont="1" applyBorder="1" applyAlignment="1">
      <alignment horizontal="center" vertical="center" wrapText="1"/>
    </xf>
    <xf numFmtId="0" fontId="36" fillId="0" borderId="1" xfId="4" applyFont="1" applyBorder="1" applyAlignment="1">
      <alignment horizontal="center" vertical="center" wrapText="1"/>
    </xf>
    <xf numFmtId="0" fontId="36" fillId="0" borderId="1" xfId="4" applyFont="1" applyBorder="1" applyAlignment="1">
      <alignment horizontal="center" wrapText="1"/>
    </xf>
    <xf numFmtId="164" fontId="38" fillId="0" borderId="1" xfId="5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 wrapText="1"/>
    </xf>
    <xf numFmtId="164" fontId="39" fillId="0" borderId="1" xfId="3" applyNumberFormat="1" applyFont="1" applyFill="1" applyBorder="1" applyAlignment="1">
      <alignment horizontal="center"/>
    </xf>
    <xf numFmtId="164" fontId="40" fillId="0" borderId="1" xfId="3" applyNumberFormat="1" applyFont="1" applyFill="1" applyBorder="1" applyAlignment="1"/>
    <xf numFmtId="164" fontId="41" fillId="0" borderId="1" xfId="3" applyNumberFormat="1" applyFont="1" applyFill="1" applyBorder="1" applyAlignment="1">
      <alignment horizontal="center"/>
    </xf>
    <xf numFmtId="2" fontId="39" fillId="0" borderId="1" xfId="4" applyNumberFormat="1" applyFont="1" applyBorder="1" applyAlignment="1">
      <alignment horizontal="center"/>
    </xf>
    <xf numFmtId="164" fontId="41" fillId="0" borderId="0" xfId="3" applyNumberFormat="1" applyFont="1" applyFill="1" applyBorder="1" applyAlignment="1">
      <alignment horizontal="center"/>
    </xf>
    <xf numFmtId="164" fontId="38" fillId="0" borderId="1" xfId="3" applyNumberFormat="1" applyFont="1" applyFill="1" applyBorder="1" applyAlignment="1"/>
    <xf numFmtId="165" fontId="38" fillId="0" borderId="1" xfId="3" applyNumberFormat="1" applyFont="1" applyFill="1" applyBorder="1" applyAlignment="1"/>
    <xf numFmtId="0" fontId="36" fillId="10" borderId="1" xfId="4" applyFont="1" applyFill="1" applyBorder="1" applyAlignment="1">
      <alignment horizontal="center" vertical="center" wrapText="1"/>
    </xf>
    <xf numFmtId="0" fontId="36" fillId="10" borderId="1" xfId="4" applyFont="1" applyFill="1" applyBorder="1" applyAlignment="1">
      <alignment horizontal="center" vertical="center"/>
    </xf>
    <xf numFmtId="164" fontId="35" fillId="0" borderId="1" xfId="1" applyNumberFormat="1" applyFont="1" applyFill="1" applyBorder="1" applyAlignment="1">
      <alignment horizontal="center"/>
    </xf>
    <xf numFmtId="164" fontId="35" fillId="0" borderId="1" xfId="1" applyNumberFormat="1" applyFont="1" applyFill="1" applyBorder="1"/>
    <xf numFmtId="164" fontId="35" fillId="0" borderId="1" xfId="4" applyNumberFormat="1" applyFont="1" applyBorder="1"/>
    <xf numFmtId="0" fontId="36" fillId="10" borderId="1" xfId="4" applyFont="1" applyFill="1" applyBorder="1" applyAlignment="1">
      <alignment horizontal="center" wrapText="1"/>
    </xf>
    <xf numFmtId="164" fontId="40" fillId="10" borderId="1" xfId="1" applyNumberFormat="1" applyFont="1" applyFill="1" applyBorder="1" applyAlignment="1"/>
    <xf numFmtId="164" fontId="35" fillId="10" borderId="1" xfId="4" applyNumberFormat="1" applyFont="1" applyFill="1" applyBorder="1"/>
    <xf numFmtId="164" fontId="40" fillId="10" borderId="1" xfId="3" applyNumberFormat="1" applyFont="1" applyFill="1" applyBorder="1" applyAlignment="1"/>
    <xf numFmtId="9" fontId="40" fillId="10" borderId="1" xfId="6" applyFont="1" applyFill="1" applyBorder="1" applyAlignment="1">
      <alignment horizontal="right"/>
    </xf>
    <xf numFmtId="0" fontId="35" fillId="0" borderId="0" xfId="4" applyFont="1" applyAlignment="1">
      <alignment horizontal="center"/>
    </xf>
    <xf numFmtId="0" fontId="36" fillId="0" borderId="0" xfId="4" applyFont="1" applyAlignment="1">
      <alignment horizontal="center"/>
    </xf>
    <xf numFmtId="0" fontId="35" fillId="10" borderId="1" xfId="4" applyFont="1" applyFill="1" applyBorder="1" applyAlignment="1">
      <alignment horizontal="center"/>
    </xf>
    <xf numFmtId="9" fontId="40" fillId="10" borderId="1" xfId="6" applyFont="1" applyFill="1" applyBorder="1" applyAlignment="1">
      <alignment horizontal="center"/>
    </xf>
    <xf numFmtId="164" fontId="36" fillId="10" borderId="1" xfId="4" applyNumberFormat="1" applyFont="1" applyFill="1" applyBorder="1"/>
    <xf numFmtId="0" fontId="35" fillId="0" borderId="0" xfId="4" applyFont="1" applyAlignment="1">
      <alignment horizontal="center" wrapText="1"/>
    </xf>
    <xf numFmtId="0" fontId="35" fillId="0" borderId="0" xfId="4" applyFont="1"/>
    <xf numFmtId="164" fontId="42" fillId="10" borderId="1" xfId="3" applyNumberFormat="1" applyFont="1" applyFill="1" applyBorder="1" applyAlignment="1"/>
    <xf numFmtId="9" fontId="6" fillId="6" borderId="1" xfId="2" applyFont="1" applyFill="1" applyBorder="1"/>
    <xf numFmtId="43" fontId="5" fillId="0" borderId="0" xfId="1" applyFont="1"/>
    <xf numFmtId="9" fontId="18" fillId="0" borderId="0" xfId="2" applyFont="1"/>
    <xf numFmtId="0" fontId="0" fillId="3" borderId="1" xfId="0" applyFill="1" applyBorder="1"/>
    <xf numFmtId="173" fontId="20" fillId="0" borderId="1" xfId="0" applyNumberFormat="1" applyFont="1" applyBorder="1"/>
    <xf numFmtId="174" fontId="0" fillId="0" borderId="1" xfId="0" applyNumberFormat="1" applyBorder="1"/>
    <xf numFmtId="9" fontId="2" fillId="6" borderId="1" xfId="0" applyNumberFormat="1" applyFont="1" applyFill="1" applyBorder="1"/>
    <xf numFmtId="165" fontId="2" fillId="6" borderId="1" xfId="1" applyNumberFormat="1" applyFont="1" applyFill="1" applyBorder="1"/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5" fillId="0" borderId="6" xfId="4" applyBorder="1" applyAlignment="1">
      <alignment horizontal="center" vertical="center"/>
    </xf>
    <xf numFmtId="0" fontId="5" fillId="0" borderId="3" xfId="4" applyBorder="1" applyAlignment="1">
      <alignment horizontal="center" vertical="center"/>
    </xf>
    <xf numFmtId="0" fontId="5" fillId="0" borderId="9" xfId="4" applyBorder="1" applyAlignment="1">
      <alignment horizontal="center" vertical="center"/>
    </xf>
    <xf numFmtId="0" fontId="23" fillId="3" borderId="1" xfId="4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36" fillId="0" borderId="8" xfId="4" applyFont="1" applyBorder="1" applyAlignment="1">
      <alignment horizontal="center" wrapText="1"/>
    </xf>
    <xf numFmtId="0" fontId="36" fillId="0" borderId="10" xfId="4" applyFont="1" applyBorder="1" applyAlignment="1">
      <alignment horizontal="center" wrapText="1"/>
    </xf>
    <xf numFmtId="0" fontId="36" fillId="0" borderId="7" xfId="4" applyFont="1" applyBorder="1" applyAlignment="1">
      <alignment horizontal="center" wrapText="1"/>
    </xf>
    <xf numFmtId="0" fontId="5" fillId="0" borderId="1" xfId="4" applyBorder="1" applyAlignment="1">
      <alignment horizontal="center"/>
    </xf>
    <xf numFmtId="0" fontId="15" fillId="0" borderId="6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9" fontId="33" fillId="6" borderId="6" xfId="4" applyNumberFormat="1" applyFont="1" applyFill="1" applyBorder="1" applyAlignment="1">
      <alignment horizontal="center" vertical="center"/>
    </xf>
    <xf numFmtId="9" fontId="33" fillId="6" borderId="3" xfId="4" applyNumberFormat="1" applyFont="1" applyFill="1" applyBorder="1" applyAlignment="1">
      <alignment horizontal="center" vertical="center"/>
    </xf>
    <xf numFmtId="9" fontId="33" fillId="6" borderId="9" xfId="4" applyNumberFormat="1" applyFont="1" applyFill="1" applyBorder="1" applyAlignment="1">
      <alignment horizontal="center" vertical="center"/>
    </xf>
    <xf numFmtId="0" fontId="15" fillId="0" borderId="5" xfId="4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174" fontId="2" fillId="6" borderId="0" xfId="0" applyNumberFormat="1" applyFont="1" applyFill="1"/>
    <xf numFmtId="174" fontId="27" fillId="0" borderId="0" xfId="4" applyNumberFormat="1" applyFont="1"/>
  </cellXfs>
  <cellStyles count="13">
    <cellStyle name="Comma" xfId="1" builtinId="3"/>
    <cellStyle name="Comma 2" xfId="5" xr:uid="{E0FB8C9D-FF63-0544-B579-20FF865662B5}"/>
    <cellStyle name="Comma 2 2" xfId="10" xr:uid="{AC955A6A-0C4D-0849-BCFE-03352BBDFC09}"/>
    <cellStyle name="Comma 3" xfId="7" xr:uid="{2A7D75B4-A45C-3E48-A95D-D9FBCD663B62}"/>
    <cellStyle name="Comma 3 6 2" xfId="8" xr:uid="{F1422E03-924E-5449-9716-2DC70F2BBF51}"/>
    <cellStyle name="Comma 4" xfId="12" xr:uid="{32090930-30B1-E947-AF21-498DABA03AAE}"/>
    <cellStyle name="Comma 5" xfId="3" xr:uid="{82E333C6-7837-014A-AC1F-B65C8E8BAA8E}"/>
    <cellStyle name="Normal" xfId="0" builtinId="0"/>
    <cellStyle name="Normal 2" xfId="4" xr:uid="{999DAA60-72C9-6C4D-B609-5A4A3C059B69}"/>
    <cellStyle name="Normal 2 2" xfId="9" xr:uid="{B8EC0AF8-DD1D-744A-9080-485E138F4897}"/>
    <cellStyle name="Per cent 2" xfId="11" xr:uid="{A0E62210-62A4-7E45-B697-63895E667D95}"/>
    <cellStyle name="Percent" xfId="2" builtinId="5"/>
    <cellStyle name="Percent 2" xfId="6" xr:uid="{616E53ED-6A9F-9046-81FD-E5C16C7A5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73D2-88C7-C948-A028-FF444012018C}">
  <dimension ref="A1:D27"/>
  <sheetViews>
    <sheetView zoomScale="150" workbookViewId="0">
      <selection activeCell="C7" sqref="C7"/>
    </sheetView>
  </sheetViews>
  <sheetFormatPr baseColWidth="10" defaultRowHeight="16" x14ac:dyDescent="0.2"/>
  <cols>
    <col min="1" max="1" width="28.33203125" customWidth="1"/>
    <col min="2" max="2" width="11.6640625" bestFit="1" customWidth="1"/>
    <col min="3" max="3" width="10.83203125" customWidth="1"/>
    <col min="4" max="4" width="31.83203125" bestFit="1" customWidth="1"/>
    <col min="7" max="7" width="11.6640625" bestFit="1" customWidth="1"/>
  </cols>
  <sheetData>
    <row r="1" spans="1:4" ht="22" x14ac:dyDescent="0.3">
      <c r="A1" s="311" t="s">
        <v>150</v>
      </c>
      <c r="B1" s="311"/>
      <c r="C1" s="311"/>
      <c r="D1" s="311"/>
    </row>
    <row r="2" spans="1:4" x14ac:dyDescent="0.2">
      <c r="A2" s="128" t="s">
        <v>6</v>
      </c>
      <c r="B2" s="128" t="s">
        <v>143</v>
      </c>
      <c r="C2" s="128" t="s">
        <v>151</v>
      </c>
      <c r="D2" s="128" t="s">
        <v>140</v>
      </c>
    </row>
    <row r="3" spans="1:4" x14ac:dyDescent="0.2">
      <c r="A3" t="s">
        <v>152</v>
      </c>
      <c r="D3" s="120" t="s">
        <v>296</v>
      </c>
    </row>
    <row r="4" spans="1:4" x14ac:dyDescent="0.2">
      <c r="A4" t="s">
        <v>308</v>
      </c>
      <c r="C4" s="266">
        <v>13373.78</v>
      </c>
    </row>
    <row r="5" spans="1:4" x14ac:dyDescent="0.2">
      <c r="A5" t="s">
        <v>261</v>
      </c>
      <c r="C5" s="234">
        <v>46174</v>
      </c>
      <c r="D5" s="120"/>
    </row>
    <row r="6" spans="1:4" x14ac:dyDescent="0.2">
      <c r="A6" t="s">
        <v>157</v>
      </c>
      <c r="B6" t="s">
        <v>158</v>
      </c>
      <c r="C6">
        <v>4</v>
      </c>
    </row>
    <row r="7" spans="1:4" x14ac:dyDescent="0.2">
      <c r="A7" t="s">
        <v>160</v>
      </c>
      <c r="B7" t="s">
        <v>7</v>
      </c>
      <c r="C7" s="124">
        <v>19500</v>
      </c>
      <c r="D7" t="s">
        <v>170</v>
      </c>
    </row>
    <row r="8" spans="1:4" x14ac:dyDescent="0.2">
      <c r="A8" t="s">
        <v>161</v>
      </c>
      <c r="B8" t="s">
        <v>7</v>
      </c>
      <c r="C8" s="124">
        <v>30000</v>
      </c>
      <c r="D8" t="s">
        <v>170</v>
      </c>
    </row>
    <row r="9" spans="1:4" x14ac:dyDescent="0.2">
      <c r="A9" t="s">
        <v>162</v>
      </c>
      <c r="B9" t="s">
        <v>163</v>
      </c>
      <c r="C9" s="124">
        <v>700000</v>
      </c>
    </row>
    <row r="10" spans="1:4" x14ac:dyDescent="0.2">
      <c r="A10" t="s">
        <v>164</v>
      </c>
      <c r="B10" t="s">
        <v>163</v>
      </c>
      <c r="C10" s="124">
        <v>200000</v>
      </c>
    </row>
    <row r="11" spans="1:4" x14ac:dyDescent="0.2">
      <c r="A11" t="s">
        <v>165</v>
      </c>
      <c r="C11" s="267">
        <v>4.4999999999999998E-2</v>
      </c>
    </row>
    <row r="14" spans="1:4" s="120" customFormat="1" x14ac:dyDescent="0.2">
      <c r="A14" s="312" t="s">
        <v>174</v>
      </c>
      <c r="B14" s="312"/>
    </row>
    <row r="15" spans="1:4" s="120" customFormat="1" x14ac:dyDescent="0.2">
      <c r="A15" s="264" t="s">
        <v>6</v>
      </c>
      <c r="B15" s="264" t="s">
        <v>156</v>
      </c>
    </row>
    <row r="16" spans="1:4" ht="17" x14ac:dyDescent="0.2">
      <c r="A16" s="129" t="s">
        <v>154</v>
      </c>
      <c r="B16" s="1">
        <f>'ANA Summary'!F48</f>
        <v>75</v>
      </c>
    </row>
    <row r="17" spans="1:2" x14ac:dyDescent="0.2">
      <c r="A17" s="1" t="s">
        <v>176</v>
      </c>
      <c r="B17" s="257">
        <v>8</v>
      </c>
    </row>
    <row r="18" spans="1:2" x14ac:dyDescent="0.2">
      <c r="A18" s="1" t="s">
        <v>177</v>
      </c>
      <c r="B18" s="130" t="s">
        <v>178</v>
      </c>
    </row>
    <row r="19" spans="1:2" x14ac:dyDescent="0.2">
      <c r="A19" s="1" t="s">
        <v>179</v>
      </c>
      <c r="B19" s="242">
        <f>'Approvals &amp; Liasoning'!G22/10^7</f>
        <v>65.342451067617404</v>
      </c>
    </row>
    <row r="20" spans="1:2" x14ac:dyDescent="0.2">
      <c r="A20" s="1" t="s">
        <v>101</v>
      </c>
      <c r="B20" s="243">
        <f>SUM(B16:B19)</f>
        <v>148.34245106761739</v>
      </c>
    </row>
    <row r="23" spans="1:2" s="120" customFormat="1" x14ac:dyDescent="0.2">
      <c r="A23" s="313" t="s">
        <v>309</v>
      </c>
      <c r="B23" s="313"/>
    </row>
    <row r="24" spans="1:2" s="265" customFormat="1" x14ac:dyDescent="0.2">
      <c r="A24" s="264" t="s">
        <v>6</v>
      </c>
      <c r="B24" s="264" t="s">
        <v>80</v>
      </c>
    </row>
    <row r="25" spans="1:2" x14ac:dyDescent="0.2">
      <c r="A25" s="1" t="s">
        <v>183</v>
      </c>
      <c r="B25" s="164">
        <v>0.73</v>
      </c>
    </row>
    <row r="26" spans="1:2" x14ac:dyDescent="0.2">
      <c r="A26" s="1" t="s">
        <v>184</v>
      </c>
      <c r="B26" s="164">
        <v>0.02</v>
      </c>
    </row>
    <row r="27" spans="1:2" x14ac:dyDescent="0.2">
      <c r="A27" s="1" t="s">
        <v>192</v>
      </c>
      <c r="B27" s="165">
        <f>'FSI &amp; Area Cal'!F50</f>
        <v>0.74999999999999989</v>
      </c>
    </row>
  </sheetData>
  <mergeCells count="3">
    <mergeCell ref="A1:D1"/>
    <mergeCell ref="A14:B14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5866-7032-0E4E-9008-F2C9B6F27B98}">
  <dimension ref="A1:F34"/>
  <sheetViews>
    <sheetView showGridLines="0" tabSelected="1" topLeftCell="A19" zoomScale="156" workbookViewId="0">
      <selection activeCell="C33" sqref="C33"/>
    </sheetView>
  </sheetViews>
  <sheetFormatPr baseColWidth="10" defaultColWidth="8.83203125" defaultRowHeight="15" x14ac:dyDescent="0.2"/>
  <cols>
    <col min="1" max="1" width="34" style="2" bestFit="1" customWidth="1"/>
    <col min="2" max="2" width="13.1640625" style="2" customWidth="1"/>
    <col min="3" max="3" width="11.5" style="2" customWidth="1"/>
    <col min="4" max="4" width="19" style="2" bestFit="1" customWidth="1"/>
    <col min="5" max="5" width="8.83203125" style="2"/>
    <col min="6" max="6" width="10.1640625" style="2" bestFit="1" customWidth="1"/>
    <col min="7" max="16384" width="8.83203125" style="2"/>
  </cols>
  <sheetData>
    <row r="1" spans="1:4" x14ac:dyDescent="0.2">
      <c r="A1" s="25" t="s">
        <v>71</v>
      </c>
    </row>
    <row r="3" spans="1:4" x14ac:dyDescent="0.2">
      <c r="A3" s="26" t="s">
        <v>72</v>
      </c>
      <c r="B3" s="27">
        <f>'FSI &amp; Area Cal'!E47</f>
        <v>737285.61391477205</v>
      </c>
      <c r="C3" s="26" t="s">
        <v>74</v>
      </c>
    </row>
    <row r="4" spans="1:4" x14ac:dyDescent="0.2">
      <c r="A4" s="26" t="s">
        <v>73</v>
      </c>
      <c r="B4" s="27">
        <f>'FSI &amp; Area Cal'!E48</f>
        <v>538218.49815778353</v>
      </c>
      <c r="C4" s="26" t="s">
        <v>74</v>
      </c>
    </row>
    <row r="5" spans="1:4" x14ac:dyDescent="0.2">
      <c r="A5" s="26" t="s">
        <v>75</v>
      </c>
      <c r="B5" s="27">
        <f>'FSI &amp; Area Cal'!E49</f>
        <v>14745.712278295441</v>
      </c>
      <c r="C5" s="26" t="s">
        <v>74</v>
      </c>
    </row>
    <row r="6" spans="1:4" x14ac:dyDescent="0.2">
      <c r="A6" s="26" t="s">
        <v>76</v>
      </c>
      <c r="B6" s="131">
        <f>'ANA Summary'!E46</f>
        <v>0.23400000000000001</v>
      </c>
      <c r="C6" s="26"/>
    </row>
    <row r="7" spans="1:4" x14ac:dyDescent="0.2">
      <c r="A7" s="28" t="s">
        <v>182</v>
      </c>
      <c r="B7" s="132">
        <v>75</v>
      </c>
      <c r="C7" s="26" t="s">
        <v>156</v>
      </c>
    </row>
    <row r="8" spans="1:4" x14ac:dyDescent="0.2">
      <c r="A8" s="29" t="s">
        <v>77</v>
      </c>
      <c r="B8" s="30" t="s">
        <v>78</v>
      </c>
      <c r="C8" s="31" t="s">
        <v>79</v>
      </c>
      <c r="D8" s="31" t="s">
        <v>80</v>
      </c>
    </row>
    <row r="9" spans="1:4" x14ac:dyDescent="0.2">
      <c r="A9" s="32" t="s">
        <v>81</v>
      </c>
      <c r="B9" s="33">
        <f>IFERROR(C9*10^7/B4,0)</f>
        <v>20780.076393618747</v>
      </c>
      <c r="C9" s="34">
        <f>'Sales and Collection'!B14</f>
        <v>1118.4221508177493</v>
      </c>
      <c r="D9" s="122">
        <f>C9/$C$12</f>
        <v>0.95929899172176814</v>
      </c>
    </row>
    <row r="10" spans="1:4" x14ac:dyDescent="0.2">
      <c r="A10" s="32" t="s">
        <v>82</v>
      </c>
      <c r="B10" s="33">
        <f>IFERROR(C10*10^7/B5,0)</f>
        <v>32180.381199749994</v>
      </c>
      <c r="C10" s="34">
        <f>'Sales and Collection'!B29</f>
        <v>47.452264217738126</v>
      </c>
      <c r="D10" s="122">
        <f>C10/$C$12</f>
        <v>4.0701008278231886E-2</v>
      </c>
    </row>
    <row r="11" spans="1:4" x14ac:dyDescent="0.2">
      <c r="A11" s="32" t="s">
        <v>155</v>
      </c>
      <c r="B11" s="126">
        <f>(C12*10^7)/(B4+B5)</f>
        <v>21084.084521782246</v>
      </c>
      <c r="C11" s="34"/>
      <c r="D11" s="34"/>
    </row>
    <row r="12" spans="1:4" x14ac:dyDescent="0.2">
      <c r="A12" s="35" t="s">
        <v>191</v>
      </c>
      <c r="B12" s="36"/>
      <c r="C12" s="37">
        <f>SUM(C9:C10)+'Sales and Collection'!D40</f>
        <v>1165.8744150354873</v>
      </c>
      <c r="D12" s="38">
        <f>C12/$C$12</f>
        <v>1</v>
      </c>
    </row>
    <row r="13" spans="1:4" x14ac:dyDescent="0.2">
      <c r="A13" s="32" t="s">
        <v>83</v>
      </c>
      <c r="B13" s="33"/>
      <c r="C13" s="34">
        <f>'Approvals &amp; Liasoning'!G22/10^7</f>
        <v>65.342451067617404</v>
      </c>
      <c r="D13" s="39">
        <f>C13/$C$12</f>
        <v>5.6045874431191189E-2</v>
      </c>
    </row>
    <row r="14" spans="1:4" x14ac:dyDescent="0.2">
      <c r="A14" s="32" t="s">
        <v>219</v>
      </c>
      <c r="B14" s="33"/>
      <c r="C14" s="34">
        <f>D14*C12</f>
        <v>81.611209052484128</v>
      </c>
      <c r="D14" s="39">
        <f>Output!C33</f>
        <v>7.0000000000000007E-2</v>
      </c>
    </row>
    <row r="15" spans="1:4" x14ac:dyDescent="0.2">
      <c r="A15" s="32" t="s">
        <v>262</v>
      </c>
      <c r="B15" s="33"/>
      <c r="C15" s="34">
        <f>SUM('ANA Summary'!F35:F36)</f>
        <v>40</v>
      </c>
      <c r="D15" s="39">
        <f>C15/C12</f>
        <v>3.4309012603885351E-2</v>
      </c>
    </row>
    <row r="16" spans="1:4" x14ac:dyDescent="0.2">
      <c r="A16" s="32" t="s">
        <v>148</v>
      </c>
      <c r="B16" s="33"/>
      <c r="C16" s="34">
        <f>'Detailed Costing'!E32</f>
        <v>304.56469409346732</v>
      </c>
      <c r="D16" s="39">
        <f>C16/C12</f>
        <v>0.26123284820878145</v>
      </c>
    </row>
    <row r="17" spans="1:6" x14ac:dyDescent="0.2">
      <c r="A17" s="29" t="s">
        <v>76</v>
      </c>
      <c r="B17" s="117"/>
      <c r="C17" s="118">
        <f>C12*B6</f>
        <v>272.81461311830407</v>
      </c>
      <c r="D17" s="119">
        <f>C17/$C$12</f>
        <v>0.23400000000000001</v>
      </c>
    </row>
    <row r="18" spans="1:6" x14ac:dyDescent="0.2">
      <c r="A18" s="29" t="s">
        <v>149</v>
      </c>
      <c r="B18" s="117"/>
      <c r="C18" s="118">
        <f>C12-SUM(C13:C17)</f>
        <v>401.54144770361449</v>
      </c>
      <c r="D18" s="119">
        <f t="shared" ref="D18" si="0">C18/$C$12</f>
        <v>0.34441226475614206</v>
      </c>
    </row>
    <row r="20" spans="1:6" x14ac:dyDescent="0.2">
      <c r="A20" s="64" t="s">
        <v>84</v>
      </c>
      <c r="B20" s="125">
        <f>Input!C7</f>
        <v>19500</v>
      </c>
      <c r="C20" s="64" t="s">
        <v>85</v>
      </c>
    </row>
    <row r="21" spans="1:6" x14ac:dyDescent="0.2">
      <c r="A21" s="64" t="s">
        <v>86</v>
      </c>
      <c r="B21" s="125">
        <f>Input!C8</f>
        <v>30000</v>
      </c>
      <c r="C21" s="64" t="s">
        <v>85</v>
      </c>
    </row>
    <row r="24" spans="1:6" customFormat="1" ht="16" x14ac:dyDescent="0.2">
      <c r="A24" s="1" t="s">
        <v>190</v>
      </c>
      <c r="B24" s="1"/>
      <c r="C24" s="306"/>
    </row>
    <row r="25" spans="1:6" customFormat="1" ht="16" x14ac:dyDescent="0.2">
      <c r="A25" s="1" t="s">
        <v>255</v>
      </c>
      <c r="B25" s="1"/>
      <c r="C25" s="306"/>
    </row>
    <row r="26" spans="1:6" x14ac:dyDescent="0.2">
      <c r="F26" s="127"/>
    </row>
    <row r="27" spans="1:6" customFormat="1" ht="16" x14ac:dyDescent="0.2">
      <c r="A27" s="1" t="s">
        <v>168</v>
      </c>
      <c r="B27" s="1" t="s">
        <v>7</v>
      </c>
      <c r="C27" s="307">
        <f>IFERROR('Sales and Collection'!B14*10^7/'FSI &amp; Area Cal'!E48,0)</f>
        <v>20780.076393618747</v>
      </c>
      <c r="D27" s="1" t="s">
        <v>170</v>
      </c>
    </row>
    <row r="28" spans="1:6" customFormat="1" ht="16" x14ac:dyDescent="0.2">
      <c r="A28" s="1" t="s">
        <v>167</v>
      </c>
      <c r="B28" s="1" t="s">
        <v>7</v>
      </c>
      <c r="C28" s="307">
        <f>IFERROR('Sales and Collection'!B29*10^7/'FSI &amp; Area Cal'!E49,0)</f>
        <v>32180.381199749994</v>
      </c>
      <c r="D28" s="1" t="s">
        <v>170</v>
      </c>
    </row>
    <row r="29" spans="1:6" customFormat="1" ht="16" x14ac:dyDescent="0.2">
      <c r="A29" s="1" t="s">
        <v>169</v>
      </c>
      <c r="B29" s="1" t="s">
        <v>7</v>
      </c>
      <c r="C29" s="307">
        <f>(('Sales and Collection'!B4+'Sales and Collection'!D40)*10^7)/('FSI &amp; Area Cal'!E50)</f>
        <v>21084.084521782243</v>
      </c>
      <c r="D29" s="1" t="s">
        <v>170</v>
      </c>
    </row>
    <row r="30" spans="1:6" customFormat="1" ht="34" x14ac:dyDescent="0.2">
      <c r="A30" s="129" t="s">
        <v>172</v>
      </c>
      <c r="B30" s="1" t="s">
        <v>7</v>
      </c>
      <c r="C30" s="307">
        <f>'Detailed Costing'!G32</f>
        <v>5507.8554514998605</v>
      </c>
      <c r="D30" s="1" t="s">
        <v>170</v>
      </c>
    </row>
    <row r="31" spans="1:6" customFormat="1" ht="16" x14ac:dyDescent="0.2">
      <c r="A31" s="1" t="s">
        <v>171</v>
      </c>
      <c r="B31" s="1"/>
      <c r="C31" s="308">
        <v>3.5000000000000003E-2</v>
      </c>
      <c r="D31" s="1" t="s">
        <v>181</v>
      </c>
    </row>
    <row r="32" spans="1:6" customFormat="1" ht="16" x14ac:dyDescent="0.2">
      <c r="A32" s="1" t="s">
        <v>295</v>
      </c>
      <c r="B32" s="1"/>
      <c r="C32" s="257">
        <v>32</v>
      </c>
      <c r="D32" s="1"/>
    </row>
    <row r="33" spans="1:4" customFormat="1" ht="34" x14ac:dyDescent="0.2">
      <c r="A33" s="129" t="s">
        <v>173</v>
      </c>
      <c r="B33" s="1"/>
      <c r="C33" s="309">
        <v>7.0000000000000007E-2</v>
      </c>
      <c r="D33" s="1" t="s">
        <v>180</v>
      </c>
    </row>
    <row r="34" spans="1:4" customFormat="1" ht="16" x14ac:dyDescent="0.2">
      <c r="A34" s="1" t="s">
        <v>159</v>
      </c>
      <c r="B34" s="1"/>
      <c r="C34" s="165">
        <v>0.65</v>
      </c>
      <c r="D34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5511-5F9A-6844-AB77-7B2A5CBCCD67}">
  <sheetPr>
    <pageSetUpPr fitToPage="1"/>
  </sheetPr>
  <dimension ref="A1:K53"/>
  <sheetViews>
    <sheetView topLeftCell="A19" zoomScale="125" zoomScaleNormal="124" workbookViewId="0">
      <selection activeCell="E49" sqref="E49"/>
    </sheetView>
  </sheetViews>
  <sheetFormatPr baseColWidth="10" defaultColWidth="8.83203125" defaultRowHeight="13" outlineLevelRow="1" x14ac:dyDescent="0.15"/>
  <cols>
    <col min="1" max="1" width="6.5" style="179" bestFit="1" customWidth="1"/>
    <col min="2" max="2" width="31" style="177" customWidth="1"/>
    <col min="3" max="3" width="11" style="177" customWidth="1"/>
    <col min="4" max="4" width="11.6640625" style="179" customWidth="1"/>
    <col min="5" max="5" width="12.1640625" style="177" customWidth="1"/>
    <col min="6" max="6" width="14.33203125" style="177" customWidth="1"/>
    <col min="7" max="7" width="8.6640625" style="177" customWidth="1"/>
    <col min="8" max="8" width="29.83203125" style="177" bestFit="1" customWidth="1"/>
    <col min="9" max="9" width="7.5" style="177" customWidth="1"/>
    <col min="10" max="10" width="11" style="177" customWidth="1"/>
    <col min="11" max="11" width="15.1640625" style="178" bestFit="1" customWidth="1"/>
    <col min="12" max="16384" width="8.83203125" style="177"/>
  </cols>
  <sheetData>
    <row r="1" spans="1:11" ht="16" x14ac:dyDescent="0.2">
      <c r="A1" s="172" t="s">
        <v>220</v>
      </c>
      <c r="B1" s="173"/>
      <c r="C1" s="174"/>
      <c r="D1" s="175"/>
      <c r="E1" s="176"/>
      <c r="F1" s="176" t="s">
        <v>254</v>
      </c>
      <c r="G1" s="176"/>
      <c r="H1" s="173"/>
    </row>
    <row r="2" spans="1:11" x14ac:dyDescent="0.15">
      <c r="C2" s="180"/>
    </row>
    <row r="3" spans="1:11" s="184" customFormat="1" ht="14" x14ac:dyDescent="0.15">
      <c r="A3" s="181"/>
      <c r="B3" s="182" t="s">
        <v>221</v>
      </c>
      <c r="C3" s="183"/>
      <c r="D3" s="183"/>
      <c r="E3" s="182"/>
      <c r="F3" s="182"/>
      <c r="G3" s="182"/>
      <c r="H3" s="182"/>
      <c r="K3" s="185"/>
    </row>
    <row r="4" spans="1:11" s="187" customFormat="1" ht="28" x14ac:dyDescent="0.2">
      <c r="A4" s="186" t="s">
        <v>193</v>
      </c>
      <c r="B4" s="186" t="s">
        <v>222</v>
      </c>
      <c r="C4" s="186" t="s">
        <v>223</v>
      </c>
      <c r="D4" s="186" t="s">
        <v>224</v>
      </c>
      <c r="E4" s="186" t="s">
        <v>2</v>
      </c>
      <c r="F4" s="186" t="s">
        <v>8</v>
      </c>
      <c r="G4" s="186"/>
      <c r="H4" s="186" t="s">
        <v>140</v>
      </c>
    </row>
    <row r="5" spans="1:11" ht="16" x14ac:dyDescent="0.2">
      <c r="A5" s="7">
        <v>1</v>
      </c>
      <c r="B5" s="6" t="s">
        <v>225</v>
      </c>
      <c r="C5" s="188">
        <v>45547</v>
      </c>
      <c r="D5" s="6">
        <v>263</v>
      </c>
      <c r="E5" s="8">
        <f t="shared" ref="E5:E13" si="0">F5/D5</f>
        <v>22349.809885931558</v>
      </c>
      <c r="F5" s="189">
        <v>5878000</v>
      </c>
      <c r="G5" s="189"/>
      <c r="H5" s="314" t="s">
        <v>226</v>
      </c>
    </row>
    <row r="6" spans="1:11" ht="16" x14ac:dyDescent="0.2">
      <c r="A6" s="7">
        <v>2</v>
      </c>
      <c r="B6" s="6" t="s">
        <v>225</v>
      </c>
      <c r="C6" s="188">
        <v>45485</v>
      </c>
      <c r="D6" s="6">
        <v>263</v>
      </c>
      <c r="E6" s="8">
        <f t="shared" si="0"/>
        <v>21567.680608365019</v>
      </c>
      <c r="F6" s="189">
        <v>5672300</v>
      </c>
      <c r="G6" s="189"/>
      <c r="H6" s="315"/>
    </row>
    <row r="7" spans="1:11" ht="16" x14ac:dyDescent="0.2">
      <c r="A7" s="7">
        <v>3</v>
      </c>
      <c r="B7" s="6" t="s">
        <v>225</v>
      </c>
      <c r="C7" s="188">
        <v>45282</v>
      </c>
      <c r="D7" s="6">
        <v>263</v>
      </c>
      <c r="E7" s="8">
        <f t="shared" si="0"/>
        <v>22343.155893536121</v>
      </c>
      <c r="F7" s="189">
        <v>5876250</v>
      </c>
      <c r="G7" s="189"/>
      <c r="H7" s="315"/>
    </row>
    <row r="8" spans="1:11" ht="16" x14ac:dyDescent="0.2">
      <c r="A8" s="7">
        <v>4</v>
      </c>
      <c r="B8" s="6" t="s">
        <v>225</v>
      </c>
      <c r="C8" s="188">
        <v>45260</v>
      </c>
      <c r="D8" s="6">
        <v>263</v>
      </c>
      <c r="E8" s="8">
        <f t="shared" si="0"/>
        <v>23434.273764258556</v>
      </c>
      <c r="F8" s="189">
        <v>6163214</v>
      </c>
      <c r="G8" s="189"/>
      <c r="H8" s="316"/>
    </row>
    <row r="9" spans="1:11" ht="16" x14ac:dyDescent="0.2">
      <c r="A9" s="7">
        <v>5</v>
      </c>
      <c r="B9" s="6" t="s">
        <v>227</v>
      </c>
      <c r="C9" s="188">
        <v>45467</v>
      </c>
      <c r="D9" s="6">
        <v>503</v>
      </c>
      <c r="E9" s="8">
        <f t="shared" si="0"/>
        <v>21868.787276341947</v>
      </c>
      <c r="F9" s="189">
        <v>11000000</v>
      </c>
      <c r="G9" s="189"/>
      <c r="H9" s="6"/>
    </row>
    <row r="10" spans="1:11" ht="16" x14ac:dyDescent="0.2">
      <c r="A10" s="7">
        <v>6</v>
      </c>
      <c r="B10" s="6" t="s">
        <v>228</v>
      </c>
      <c r="C10" s="188">
        <v>45407</v>
      </c>
      <c r="D10" s="6">
        <v>652</v>
      </c>
      <c r="E10" s="8">
        <f t="shared" si="0"/>
        <v>20615.490797546012</v>
      </c>
      <c r="F10" s="189">
        <v>13441300</v>
      </c>
      <c r="G10" s="189"/>
      <c r="H10" s="314" t="s">
        <v>229</v>
      </c>
    </row>
    <row r="11" spans="1:11" ht="16" x14ac:dyDescent="0.2">
      <c r="A11" s="7">
        <v>7</v>
      </c>
      <c r="B11" s="6" t="s">
        <v>228</v>
      </c>
      <c r="C11" s="188">
        <v>45394</v>
      </c>
      <c r="D11" s="6">
        <v>652</v>
      </c>
      <c r="E11" s="8">
        <f t="shared" si="0"/>
        <v>20507.822085889569</v>
      </c>
      <c r="F11" s="189">
        <v>13371100</v>
      </c>
      <c r="G11" s="189"/>
      <c r="H11" s="315"/>
    </row>
    <row r="12" spans="1:11" ht="16" x14ac:dyDescent="0.2">
      <c r="A12" s="7">
        <v>8</v>
      </c>
      <c r="B12" s="6" t="s">
        <v>228</v>
      </c>
      <c r="C12" s="188">
        <v>45218</v>
      </c>
      <c r="D12" s="6">
        <v>936</v>
      </c>
      <c r="E12" s="8">
        <f t="shared" si="0"/>
        <v>20081.196581196582</v>
      </c>
      <c r="F12" s="189">
        <v>18796000</v>
      </c>
      <c r="G12" s="189"/>
      <c r="H12" s="315"/>
    </row>
    <row r="13" spans="1:11" ht="16" x14ac:dyDescent="0.2">
      <c r="A13" s="7">
        <v>9</v>
      </c>
      <c r="B13" s="6" t="s">
        <v>228</v>
      </c>
      <c r="C13" s="188">
        <v>45215</v>
      </c>
      <c r="D13" s="6">
        <v>652</v>
      </c>
      <c r="E13" s="8">
        <f t="shared" si="0"/>
        <v>19269.63190184049</v>
      </c>
      <c r="F13" s="189">
        <v>12563800</v>
      </c>
      <c r="G13" s="189"/>
      <c r="H13" s="316"/>
    </row>
    <row r="14" spans="1:11" ht="16" x14ac:dyDescent="0.2">
      <c r="A14" s="7"/>
      <c r="B14" s="6"/>
      <c r="C14" s="188"/>
      <c r="D14" s="6"/>
      <c r="E14" s="8"/>
      <c r="F14" s="189"/>
      <c r="G14" s="189"/>
      <c r="H14" s="19"/>
    </row>
    <row r="15" spans="1:11" x14ac:dyDescent="0.15">
      <c r="A15" s="191"/>
      <c r="B15" s="192"/>
      <c r="C15" s="192"/>
      <c r="D15" s="193"/>
      <c r="E15" s="193">
        <f>AVERAGE(E5:E14)</f>
        <v>21337.538754989542</v>
      </c>
      <c r="F15" s="193"/>
      <c r="G15" s="193"/>
      <c r="H15" s="192"/>
    </row>
    <row r="17" spans="1:9" s="184" customFormat="1" ht="14" x14ac:dyDescent="0.15">
      <c r="A17" s="181"/>
      <c r="B17" s="181" t="s">
        <v>230</v>
      </c>
      <c r="C17" s="317"/>
      <c r="D17" s="317"/>
      <c r="E17" s="317"/>
      <c r="F17" s="317"/>
      <c r="G17" s="194"/>
      <c r="H17" s="182"/>
    </row>
    <row r="18" spans="1:9" s="184" customFormat="1" x14ac:dyDescent="0.15">
      <c r="A18" s="191"/>
      <c r="B18" s="192" t="s">
        <v>232</v>
      </c>
      <c r="C18" s="191"/>
      <c r="D18" s="191" t="s">
        <v>233</v>
      </c>
      <c r="E18" s="195" t="s">
        <v>141</v>
      </c>
      <c r="F18" s="195" t="s">
        <v>151</v>
      </c>
      <c r="G18" s="195" t="s">
        <v>234</v>
      </c>
      <c r="H18" s="192"/>
    </row>
    <row r="19" spans="1:9" s="200" customFormat="1" x14ac:dyDescent="0.15">
      <c r="A19" s="196"/>
      <c r="B19" s="197" t="s">
        <v>5</v>
      </c>
      <c r="C19" s="198">
        <f>'FSI &amp; Area Cal'!D47</f>
        <v>68495.50482300001</v>
      </c>
      <c r="D19" s="198">
        <f>'FSI &amp; Area Cal'!E47</f>
        <v>737285.61391477205</v>
      </c>
      <c r="E19" s="196"/>
      <c r="F19" s="199"/>
      <c r="G19" s="199"/>
      <c r="H19" s="199"/>
    </row>
    <row r="20" spans="1:9" x14ac:dyDescent="0.15">
      <c r="A20" s="196">
        <v>1</v>
      </c>
      <c r="B20" s="197" t="s">
        <v>235</v>
      </c>
      <c r="C20" s="198">
        <f>D20/10.764</f>
        <v>50001.718520789997</v>
      </c>
      <c r="D20" s="201">
        <f>'FSI &amp; Area Cal'!E48</f>
        <v>538218.49815778353</v>
      </c>
      <c r="E20" s="202">
        <f>Output!C27</f>
        <v>20780.076393618747</v>
      </c>
      <c r="F20" s="202">
        <f>E20*D20/10^7</f>
        <v>1118.4221508177493</v>
      </c>
      <c r="G20" s="202"/>
      <c r="H20" s="201"/>
    </row>
    <row r="21" spans="1:9" x14ac:dyDescent="0.15">
      <c r="A21" s="196">
        <f>A20+1</f>
        <v>2</v>
      </c>
      <c r="B21" s="197" t="s">
        <v>236</v>
      </c>
      <c r="C21" s="197"/>
      <c r="D21" s="201">
        <f>'FSI &amp; Area Cal'!E49</f>
        <v>14745.712278295441</v>
      </c>
      <c r="E21" s="202">
        <f>Output!C28</f>
        <v>32180.381199749994</v>
      </c>
      <c r="F21" s="202">
        <f>E21*D21/10^7</f>
        <v>47.452264217738126</v>
      </c>
      <c r="G21" s="202"/>
      <c r="H21" s="201"/>
    </row>
    <row r="22" spans="1:9" x14ac:dyDescent="0.15">
      <c r="A22" s="196">
        <f>A21+1</f>
        <v>3</v>
      </c>
      <c r="B22" s="197" t="s">
        <v>237</v>
      </c>
      <c r="C22" s="203">
        <v>0.65</v>
      </c>
      <c r="D22" s="201">
        <v>0</v>
      </c>
      <c r="E22" s="202">
        <v>0</v>
      </c>
      <c r="F22" s="202">
        <f t="shared" ref="F22:F23" si="1">E22*D22/10^7</f>
        <v>0</v>
      </c>
      <c r="G22" s="202"/>
      <c r="H22" s="204"/>
    </row>
    <row r="23" spans="1:9" x14ac:dyDescent="0.15">
      <c r="A23" s="196">
        <f>A22+1</f>
        <v>4</v>
      </c>
      <c r="B23" s="197" t="s">
        <v>238</v>
      </c>
      <c r="C23" s="197"/>
      <c r="D23" s="201">
        <f>D22</f>
        <v>0</v>
      </c>
      <c r="E23" s="202">
        <v>0</v>
      </c>
      <c r="F23" s="202">
        <f t="shared" si="1"/>
        <v>0</v>
      </c>
      <c r="G23" s="202"/>
      <c r="H23" s="201"/>
    </row>
    <row r="24" spans="1:9" s="184" customFormat="1" x14ac:dyDescent="0.15">
      <c r="A24" s="196">
        <f>A23+1</f>
        <v>5</v>
      </c>
      <c r="B24" s="205" t="s">
        <v>239</v>
      </c>
      <c r="C24" s="206">
        <f>D24/D19</f>
        <v>0.74999999999999989</v>
      </c>
      <c r="D24" s="207">
        <f>'FSI &amp; Area Cal'!E50</f>
        <v>552964.21043607895</v>
      </c>
      <c r="E24" s="208"/>
      <c r="F24" s="209">
        <f>SUM(F20:F23)</f>
        <v>1165.8744150354873</v>
      </c>
      <c r="G24" s="210">
        <f>F24*10^7/$D$24</f>
        <v>21084.084521782246</v>
      </c>
      <c r="H24" s="207"/>
    </row>
    <row r="25" spans="1:9" x14ac:dyDescent="0.15">
      <c r="E25" s="211"/>
      <c r="F25" s="211"/>
      <c r="G25" s="211"/>
    </row>
    <row r="26" spans="1:9" s="184" customFormat="1" ht="14" outlineLevel="1" x14ac:dyDescent="0.15">
      <c r="A26" s="181"/>
      <c r="B26" s="181" t="s">
        <v>240</v>
      </c>
      <c r="C26" s="183"/>
      <c r="D26" s="183"/>
      <c r="E26" s="212"/>
      <c r="F26" s="212"/>
      <c r="G26" s="212"/>
      <c r="H26" s="182"/>
    </row>
    <row r="27" spans="1:9" s="184" customFormat="1" outlineLevel="1" x14ac:dyDescent="0.15">
      <c r="A27" s="191"/>
      <c r="B27" s="192" t="s">
        <v>241</v>
      </c>
      <c r="C27" s="191" t="s">
        <v>143</v>
      </c>
      <c r="D27" s="191" t="s">
        <v>142</v>
      </c>
      <c r="E27" s="213" t="s">
        <v>141</v>
      </c>
      <c r="F27" s="213" t="s">
        <v>151</v>
      </c>
      <c r="G27" s="213"/>
      <c r="H27" s="195" t="s">
        <v>140</v>
      </c>
    </row>
    <row r="28" spans="1:9" outlineLevel="1" x14ac:dyDescent="0.15">
      <c r="A28" s="196">
        <f>A24+1</f>
        <v>6</v>
      </c>
      <c r="B28" s="197" t="s">
        <v>242</v>
      </c>
      <c r="C28" s="199"/>
      <c r="D28" s="190"/>
      <c r="E28" s="214"/>
      <c r="F28" s="202">
        <f>E28*D28/10^7</f>
        <v>0</v>
      </c>
      <c r="G28" s="202"/>
      <c r="H28" s="197"/>
    </row>
    <row r="29" spans="1:9" outlineLevel="1" x14ac:dyDescent="0.15">
      <c r="A29" s="196">
        <f>A28+1</f>
        <v>7</v>
      </c>
      <c r="B29" s="197" t="s">
        <v>243</v>
      </c>
      <c r="C29" s="199"/>
      <c r="D29" s="190"/>
      <c r="E29" s="214"/>
      <c r="F29" s="202">
        <f>'Approvals &amp; Liasoning'!G22/10^7</f>
        <v>65.342451067617404</v>
      </c>
      <c r="G29" s="202"/>
      <c r="H29" s="216" t="s">
        <v>244</v>
      </c>
    </row>
    <row r="30" spans="1:9" outlineLevel="1" x14ac:dyDescent="0.15">
      <c r="A30" s="196">
        <f>A29+1</f>
        <v>8</v>
      </c>
      <c r="B30" s="197" t="s">
        <v>259</v>
      </c>
      <c r="C30" s="199" t="s">
        <v>67</v>
      </c>
      <c r="D30" s="190">
        <f>'FSI &amp; Area Cal'!H63</f>
        <v>876783.78083196061</v>
      </c>
      <c r="E30" s="214">
        <f>'Detailed Costing'!F27</f>
        <v>3121.3607999999999</v>
      </c>
      <c r="F30" s="202">
        <f>E30*D30/10^7</f>
        <v>273.67585235646732</v>
      </c>
      <c r="G30" s="215"/>
      <c r="H30" s="216" t="s">
        <v>245</v>
      </c>
      <c r="I30" s="217"/>
    </row>
    <row r="31" spans="1:9" outlineLevel="1" x14ac:dyDescent="0.15">
      <c r="A31" s="196">
        <f t="shared" ref="A31:A36" si="2">A30+1</f>
        <v>9</v>
      </c>
      <c r="B31" s="197" t="s">
        <v>260</v>
      </c>
      <c r="C31" s="199" t="s">
        <v>67</v>
      </c>
      <c r="D31" s="190">
        <f>'FSI &amp; Area Cal'!H64</f>
        <v>17866.984200000003</v>
      </c>
      <c r="E31" s="214">
        <f>'Detailed Costing'!F28</f>
        <v>2450</v>
      </c>
      <c r="F31" s="202">
        <f t="shared" ref="F31:F33" si="3">E31*D31/10^7</f>
        <v>4.3774111290000004</v>
      </c>
      <c r="G31" s="215"/>
      <c r="H31" s="216"/>
      <c r="I31" s="217"/>
    </row>
    <row r="32" spans="1:9" outlineLevel="1" x14ac:dyDescent="0.15">
      <c r="A32" s="196">
        <f t="shared" si="2"/>
        <v>10</v>
      </c>
      <c r="B32" s="197" t="s">
        <v>257</v>
      </c>
      <c r="C32" s="199" t="s">
        <v>67</v>
      </c>
      <c r="D32" s="190">
        <f>'FSI &amp; Area Cal'!H68</f>
        <v>8578.2406319999991</v>
      </c>
      <c r="E32" s="214">
        <f>'Detailed Costing'!F29</f>
        <v>6000</v>
      </c>
      <c r="F32" s="202">
        <f t="shared" si="3"/>
        <v>5.1469443791999998</v>
      </c>
      <c r="G32" s="215"/>
      <c r="H32" s="216"/>
      <c r="I32" s="217"/>
    </row>
    <row r="33" spans="1:11" outlineLevel="1" x14ac:dyDescent="0.15">
      <c r="A33" s="196">
        <f t="shared" si="2"/>
        <v>11</v>
      </c>
      <c r="B33" s="197" t="s">
        <v>258</v>
      </c>
      <c r="C33" s="199" t="s">
        <v>67</v>
      </c>
      <c r="D33" s="190">
        <f>'FSI &amp; Area Cal'!H67</f>
        <v>194222.60208000001</v>
      </c>
      <c r="E33" s="214">
        <f>'Detailed Costing'!F30</f>
        <v>1100</v>
      </c>
      <c r="F33" s="202">
        <f t="shared" si="3"/>
        <v>21.364486228800001</v>
      </c>
      <c r="G33" s="215"/>
      <c r="H33" s="216"/>
      <c r="I33" s="217"/>
    </row>
    <row r="34" spans="1:11" outlineLevel="1" x14ac:dyDescent="0.15">
      <c r="A34" s="196">
        <f t="shared" si="2"/>
        <v>12</v>
      </c>
      <c r="B34" s="197" t="s">
        <v>246</v>
      </c>
      <c r="C34" s="199"/>
      <c r="D34" s="218"/>
      <c r="E34" s="219">
        <v>7.0000000000000007E-2</v>
      </c>
      <c r="F34" s="202">
        <f>F24*E34</f>
        <v>81.611209052484128</v>
      </c>
      <c r="G34" s="202"/>
      <c r="H34" s="220"/>
    </row>
    <row r="35" spans="1:11" outlineLevel="1" x14ac:dyDescent="0.15">
      <c r="A35" s="196">
        <f t="shared" si="2"/>
        <v>13</v>
      </c>
      <c r="B35" s="197" t="s">
        <v>247</v>
      </c>
      <c r="C35" s="199"/>
      <c r="D35" s="218"/>
      <c r="E35" s="219"/>
      <c r="F35" s="202">
        <f>Output!C32</f>
        <v>32</v>
      </c>
      <c r="G35" s="202"/>
      <c r="H35" s="220"/>
    </row>
    <row r="36" spans="1:11" outlineLevel="1" x14ac:dyDescent="0.15">
      <c r="A36" s="196">
        <f t="shared" si="2"/>
        <v>14</v>
      </c>
      <c r="B36" s="197" t="s">
        <v>248</v>
      </c>
      <c r="C36" s="199"/>
      <c r="D36" s="218"/>
      <c r="E36" s="219"/>
      <c r="F36" s="202">
        <f>Input!B17</f>
        <v>8</v>
      </c>
      <c r="G36" s="202"/>
      <c r="H36" s="220"/>
    </row>
    <row r="37" spans="1:11" outlineLevel="1" x14ac:dyDescent="0.15">
      <c r="A37" s="196"/>
      <c r="B37" s="197"/>
      <c r="C37" s="197"/>
      <c r="D37" s="196"/>
      <c r="E37" s="197"/>
      <c r="F37" s="201"/>
      <c r="G37" s="201"/>
      <c r="H37" s="197"/>
    </row>
    <row r="38" spans="1:11" s="184" customFormat="1" x14ac:dyDescent="0.15">
      <c r="A38" s="221"/>
      <c r="B38" s="205" t="s">
        <v>249</v>
      </c>
      <c r="C38" s="205"/>
      <c r="D38" s="221"/>
      <c r="E38" s="205"/>
      <c r="F38" s="207">
        <f>SUM(F28:F37)</f>
        <v>491.51835421356884</v>
      </c>
      <c r="G38" s="210">
        <f>F38*10^7/$D$24</f>
        <v>8888.7914432282596</v>
      </c>
      <c r="H38" s="222"/>
    </row>
    <row r="39" spans="1:11" x14ac:dyDescent="0.15">
      <c r="F39" s="217"/>
      <c r="G39" s="217"/>
    </row>
    <row r="40" spans="1:11" x14ac:dyDescent="0.15">
      <c r="B40" s="184" t="s">
        <v>250</v>
      </c>
      <c r="F40" s="223">
        <f>F24-F38</f>
        <v>674.3560608219185</v>
      </c>
      <c r="G40" s="223"/>
    </row>
    <row r="41" spans="1:11" x14ac:dyDescent="0.15">
      <c r="F41" s="217"/>
      <c r="G41" s="217"/>
    </row>
    <row r="42" spans="1:11" s="184" customFormat="1" ht="16" outlineLevel="1" x14ac:dyDescent="0.15">
      <c r="A42" s="175"/>
      <c r="B42" s="175" t="s">
        <v>149</v>
      </c>
      <c r="C42" s="175"/>
      <c r="D42" s="175"/>
      <c r="E42" s="175"/>
      <c r="F42" s="224">
        <f>F47-F38</f>
        <v>401.54144770361449</v>
      </c>
      <c r="G42" s="224"/>
      <c r="H42" s="175"/>
      <c r="K42" s="185"/>
    </row>
    <row r="43" spans="1:11" s="184" customFormat="1" ht="16" outlineLevel="1" x14ac:dyDescent="0.15">
      <c r="A43" s="175"/>
      <c r="B43" s="175" t="s">
        <v>251</v>
      </c>
      <c r="C43" s="175"/>
      <c r="D43" s="175"/>
      <c r="E43" s="175"/>
      <c r="F43" s="225">
        <f>F42/F24</f>
        <v>0.34441226475614206</v>
      </c>
      <c r="G43" s="225"/>
      <c r="H43" s="175"/>
      <c r="K43" s="185"/>
    </row>
    <row r="44" spans="1:11" outlineLevel="1" x14ac:dyDescent="0.15">
      <c r="F44" s="217"/>
      <c r="G44" s="217"/>
    </row>
    <row r="45" spans="1:11" outlineLevel="1" x14ac:dyDescent="0.15">
      <c r="D45" s="226"/>
      <c r="E45" s="211" t="s">
        <v>252</v>
      </c>
      <c r="F45" s="227">
        <f>F24</f>
        <v>1165.8744150354873</v>
      </c>
      <c r="G45" s="227"/>
    </row>
    <row r="46" spans="1:11" ht="16" outlineLevel="1" x14ac:dyDescent="0.2">
      <c r="D46" s="179" t="s">
        <v>231</v>
      </c>
      <c r="E46" s="334">
        <v>0.23400000000000001</v>
      </c>
      <c r="F46" s="227">
        <f>F45*E46</f>
        <v>272.81461311830407</v>
      </c>
      <c r="G46" s="227"/>
    </row>
    <row r="47" spans="1:11" outlineLevel="1" x14ac:dyDescent="0.15">
      <c r="D47" s="228" t="s">
        <v>253</v>
      </c>
      <c r="E47" s="335">
        <f>1-E46</f>
        <v>0.76600000000000001</v>
      </c>
      <c r="F47" s="229">
        <f>F45*E47</f>
        <v>893.05980191718334</v>
      </c>
      <c r="G47" s="229"/>
      <c r="H47" s="230"/>
    </row>
    <row r="48" spans="1:11" ht="16" outlineLevel="1" x14ac:dyDescent="0.2">
      <c r="D48" s="179" t="s">
        <v>175</v>
      </c>
      <c r="E48" s="230"/>
      <c r="F48" s="262">
        <v>75</v>
      </c>
      <c r="G48" t="s">
        <v>153</v>
      </c>
    </row>
    <row r="49" spans="1:9" x14ac:dyDescent="0.15">
      <c r="A49" s="177"/>
      <c r="D49" s="226"/>
      <c r="F49" s="231"/>
      <c r="G49" s="231"/>
    </row>
    <row r="50" spans="1:9" x14ac:dyDescent="0.15">
      <c r="A50" s="177"/>
      <c r="E50" s="232"/>
      <c r="F50" s="233"/>
      <c r="G50" s="233"/>
    </row>
    <row r="51" spans="1:9" x14ac:dyDescent="0.15">
      <c r="A51" s="177"/>
    </row>
    <row r="52" spans="1:9" customFormat="1" ht="16" x14ac:dyDescent="0.2">
      <c r="A52" s="179"/>
      <c r="D52" s="179"/>
    </row>
    <row r="53" spans="1:9" x14ac:dyDescent="0.15">
      <c r="A53" s="177"/>
      <c r="I53" s="244"/>
    </row>
  </sheetData>
  <mergeCells count="3">
    <mergeCell ref="H5:H8"/>
    <mergeCell ref="H10:H13"/>
    <mergeCell ref="C17:F17"/>
  </mergeCells>
  <pageMargins left="0.511811023622047" right="0.118110236220472" top="0.74803149606299202" bottom="0.35433070866141703" header="0.31496062992126" footer="0.31496062992126"/>
  <pageSetup paperSize="5" orientation="landscape" horizontalDpi="1200" verticalDpi="1200" r:id="rId1"/>
  <ignoredErrors>
    <ignoredError sqref="F2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B2E8-79D1-4D40-9AEE-C344AB73989E}">
  <sheetPr>
    <pageSetUpPr fitToPage="1"/>
  </sheetPr>
  <dimension ref="A2:K120"/>
  <sheetViews>
    <sheetView zoomScale="118" zoomScaleNormal="100" workbookViewId="0">
      <pane ySplit="4" topLeftCell="A5" activePane="bottomLeft" state="frozen"/>
      <selection pane="bottomLeft" activeCell="E56" sqref="E56"/>
    </sheetView>
  </sheetViews>
  <sheetFormatPr baseColWidth="10" defaultColWidth="8.83203125" defaultRowHeight="16" x14ac:dyDescent="0.2"/>
  <cols>
    <col min="1" max="1" width="10.33203125" style="10" bestFit="1" customWidth="1"/>
    <col min="2" max="2" width="4.83203125" style="10" bestFit="1" customWidth="1"/>
    <col min="3" max="3" width="59.6640625" style="10" customWidth="1"/>
    <col min="4" max="4" width="10.5" style="11" bestFit="1" customWidth="1"/>
    <col min="5" max="5" width="12.6640625" style="11" bestFit="1" customWidth="1"/>
    <col min="6" max="6" width="9.6640625" style="10" bestFit="1" customWidth="1"/>
    <col min="7" max="9" width="11.33203125" style="10" customWidth="1"/>
    <col min="10" max="10" width="10.1640625" style="10" bestFit="1" customWidth="1"/>
    <col min="11" max="16384" width="8.83203125" style="10"/>
  </cols>
  <sheetData>
    <row r="2" spans="1:5" x14ac:dyDescent="0.2">
      <c r="A2" s="318" t="s">
        <v>70</v>
      </c>
      <c r="B2" s="318"/>
      <c r="C2" s="318"/>
      <c r="D2" s="318"/>
      <c r="E2" s="318"/>
    </row>
    <row r="3" spans="1:5" x14ac:dyDescent="0.2">
      <c r="A3" s="319" t="s">
        <v>69</v>
      </c>
      <c r="B3" s="319"/>
      <c r="C3" s="319"/>
      <c r="D3" s="319"/>
      <c r="E3" s="319"/>
    </row>
    <row r="4" spans="1:5" x14ac:dyDescent="0.2">
      <c r="A4" s="20"/>
      <c r="B4" s="20"/>
      <c r="C4" s="20"/>
      <c r="D4" s="21" t="s">
        <v>68</v>
      </c>
      <c r="E4" s="21" t="s">
        <v>67</v>
      </c>
    </row>
    <row r="5" spans="1:5" ht="31" x14ac:dyDescent="0.2">
      <c r="A5" s="160">
        <v>1</v>
      </c>
      <c r="B5" s="16"/>
      <c r="C5" s="18" t="s">
        <v>66</v>
      </c>
      <c r="D5" s="17"/>
      <c r="E5" s="17"/>
    </row>
    <row r="6" spans="1:5" x14ac:dyDescent="0.2">
      <c r="A6" s="160"/>
      <c r="B6" s="16" t="s">
        <v>35</v>
      </c>
      <c r="C6" s="16" t="s">
        <v>65</v>
      </c>
      <c r="D6" s="259">
        <f>Input!C4</f>
        <v>13373.78</v>
      </c>
      <c r="E6" s="17">
        <f>D6*10.764</f>
        <v>143955.36791999999</v>
      </c>
    </row>
    <row r="7" spans="1:5" x14ac:dyDescent="0.2">
      <c r="A7" s="160"/>
      <c r="B7" s="16" t="s">
        <v>30</v>
      </c>
      <c r="C7" s="16" t="s">
        <v>64</v>
      </c>
      <c r="D7" s="17"/>
      <c r="E7" s="17"/>
    </row>
    <row r="8" spans="1:5" x14ac:dyDescent="0.2">
      <c r="A8" s="160"/>
      <c r="B8" s="16" t="s">
        <v>27</v>
      </c>
      <c r="C8" s="16" t="s">
        <v>63</v>
      </c>
      <c r="D8" s="17"/>
      <c r="E8" s="17"/>
    </row>
    <row r="9" spans="1:5" x14ac:dyDescent="0.2">
      <c r="A9" s="160">
        <v>2</v>
      </c>
      <c r="B9" s="16"/>
      <c r="C9" s="16" t="s">
        <v>62</v>
      </c>
      <c r="D9" s="17"/>
      <c r="E9" s="17"/>
    </row>
    <row r="10" spans="1:5" x14ac:dyDescent="0.2">
      <c r="A10" s="160"/>
      <c r="B10" s="16" t="s">
        <v>35</v>
      </c>
      <c r="C10" s="18" t="s">
        <v>61</v>
      </c>
      <c r="D10" s="22" t="s">
        <v>40</v>
      </c>
      <c r="E10" s="22"/>
    </row>
    <row r="11" spans="1:5" x14ac:dyDescent="0.2">
      <c r="A11" s="160"/>
      <c r="B11" s="16" t="s">
        <v>30</v>
      </c>
      <c r="C11" s="16" t="s">
        <v>60</v>
      </c>
      <c r="D11" s="22" t="s">
        <v>40</v>
      </c>
      <c r="E11" s="22"/>
    </row>
    <row r="12" spans="1:5" x14ac:dyDescent="0.2">
      <c r="A12" s="160"/>
      <c r="B12" s="16" t="s">
        <v>27</v>
      </c>
      <c r="C12" s="16" t="s">
        <v>59</v>
      </c>
      <c r="D12" s="22" t="s">
        <v>40</v>
      </c>
      <c r="E12" s="22"/>
    </row>
    <row r="13" spans="1:5" x14ac:dyDescent="0.2">
      <c r="A13" s="160">
        <v>3</v>
      </c>
      <c r="B13" s="16"/>
      <c r="C13" s="16" t="s">
        <v>58</v>
      </c>
      <c r="D13" s="17">
        <f>D6</f>
        <v>13373.78</v>
      </c>
      <c r="E13" s="17">
        <f>D13*10.764</f>
        <v>143955.36791999999</v>
      </c>
    </row>
    <row r="14" spans="1:5" x14ac:dyDescent="0.2">
      <c r="A14" s="160">
        <v>4</v>
      </c>
      <c r="B14" s="16"/>
      <c r="C14" s="16" t="s">
        <v>57</v>
      </c>
      <c r="D14" s="17"/>
      <c r="E14" s="17"/>
    </row>
    <row r="15" spans="1:5" x14ac:dyDescent="0.2">
      <c r="A15" s="160"/>
      <c r="B15" s="16" t="s">
        <v>35</v>
      </c>
      <c r="C15" s="16" t="s">
        <v>52</v>
      </c>
      <c r="D15" s="22">
        <f>5%*D6</f>
        <v>668.68900000000008</v>
      </c>
      <c r="E15" s="17">
        <f>D15*10.764</f>
        <v>7197.7683960000004</v>
      </c>
    </row>
    <row r="16" spans="1:5" x14ac:dyDescent="0.2">
      <c r="A16" s="160"/>
      <c r="B16" s="16" t="s">
        <v>30</v>
      </c>
      <c r="C16" s="16" t="s">
        <v>56</v>
      </c>
      <c r="D16" s="22" t="s">
        <v>40</v>
      </c>
      <c r="E16" s="22"/>
    </row>
    <row r="17" spans="1:5" x14ac:dyDescent="0.2">
      <c r="A17" s="160"/>
      <c r="B17" s="16" t="s">
        <v>27</v>
      </c>
      <c r="C17" s="16" t="s">
        <v>55</v>
      </c>
      <c r="D17" s="22">
        <f>D15</f>
        <v>668.68900000000008</v>
      </c>
      <c r="E17" s="17">
        <f>D17*10.764</f>
        <v>7197.7683960000004</v>
      </c>
    </row>
    <row r="18" spans="1:5" x14ac:dyDescent="0.2">
      <c r="A18" s="160">
        <v>5</v>
      </c>
      <c r="B18" s="16"/>
      <c r="C18" s="16" t="s">
        <v>54</v>
      </c>
      <c r="D18" s="17">
        <f>D13-D17</f>
        <v>12705.091</v>
      </c>
      <c r="E18" s="17">
        <f>D18*10.764</f>
        <v>136757.59952399999</v>
      </c>
    </row>
    <row r="19" spans="1:5" x14ac:dyDescent="0.2">
      <c r="A19" s="160">
        <v>6</v>
      </c>
      <c r="B19" s="16"/>
      <c r="C19" s="16" t="s">
        <v>53</v>
      </c>
      <c r="D19" s="17"/>
      <c r="E19" s="17"/>
    </row>
    <row r="20" spans="1:5" x14ac:dyDescent="0.2">
      <c r="A20" s="160"/>
      <c r="B20" s="16" t="s">
        <v>35</v>
      </c>
      <c r="C20" s="16" t="s">
        <v>52</v>
      </c>
      <c r="D20" s="22">
        <f>D18*0.1</f>
        <v>1270.5091000000002</v>
      </c>
      <c r="E20" s="17">
        <f>D20*10.764</f>
        <v>13675.759952400002</v>
      </c>
    </row>
    <row r="21" spans="1:5" x14ac:dyDescent="0.2">
      <c r="A21" s="160"/>
      <c r="B21" s="16" t="s">
        <v>30</v>
      </c>
      <c r="C21" s="16" t="s">
        <v>51</v>
      </c>
      <c r="D21" s="22">
        <f>D20</f>
        <v>1270.5091000000002</v>
      </c>
      <c r="E21" s="17">
        <f>D21*10.764</f>
        <v>13675.759952400002</v>
      </c>
    </row>
    <row r="22" spans="1:5" x14ac:dyDescent="0.2">
      <c r="A22" s="160">
        <v>7</v>
      </c>
      <c r="B22" s="16"/>
      <c r="C22" s="16" t="s">
        <v>50</v>
      </c>
      <c r="D22" s="22" t="s">
        <v>40</v>
      </c>
      <c r="E22" s="22"/>
    </row>
    <row r="23" spans="1:5" x14ac:dyDescent="0.2">
      <c r="A23" s="160">
        <v>8</v>
      </c>
      <c r="B23" s="16"/>
      <c r="C23" s="16" t="s">
        <v>49</v>
      </c>
      <c r="D23" s="22" t="s">
        <v>40</v>
      </c>
      <c r="E23" s="22"/>
    </row>
    <row r="24" spans="1:5" ht="31" x14ac:dyDescent="0.2">
      <c r="A24" s="160">
        <v>9</v>
      </c>
      <c r="B24" s="16"/>
      <c r="C24" s="18" t="s">
        <v>48</v>
      </c>
      <c r="D24" s="17">
        <f>D18*1.1</f>
        <v>13975.600100000001</v>
      </c>
      <c r="E24" s="17">
        <f>D24*10.764</f>
        <v>150433.35947640002</v>
      </c>
    </row>
    <row r="25" spans="1:5" x14ac:dyDescent="0.2">
      <c r="A25" s="160">
        <v>10</v>
      </c>
      <c r="B25" s="16"/>
      <c r="C25" s="16" t="s">
        <v>47</v>
      </c>
      <c r="D25" s="17"/>
      <c r="E25" s="17"/>
    </row>
    <row r="26" spans="1:5" ht="32" x14ac:dyDescent="0.2">
      <c r="A26" s="160"/>
      <c r="B26" s="16" t="s">
        <v>35</v>
      </c>
      <c r="C26" s="18" t="s">
        <v>46</v>
      </c>
      <c r="D26" s="17">
        <f>(D6*2.9)-D17-D17</f>
        <v>37446.584000000003</v>
      </c>
      <c r="E26" s="17">
        <f>D26*10.764</f>
        <v>403075.03017600003</v>
      </c>
    </row>
    <row r="27" spans="1:5" x14ac:dyDescent="0.2">
      <c r="A27" s="160"/>
      <c r="B27" s="16" t="s">
        <v>30</v>
      </c>
      <c r="C27" s="16" t="s">
        <v>45</v>
      </c>
      <c r="D27" s="17">
        <f>D26</f>
        <v>37446.584000000003</v>
      </c>
      <c r="E27" s="17">
        <f>D27*10.764</f>
        <v>403075.03017600003</v>
      </c>
    </row>
    <row r="28" spans="1:5" x14ac:dyDescent="0.2">
      <c r="A28" s="160">
        <v>11</v>
      </c>
      <c r="B28" s="16"/>
      <c r="C28" s="16" t="s">
        <v>44</v>
      </c>
      <c r="D28" s="17"/>
      <c r="E28" s="17"/>
    </row>
    <row r="29" spans="1:5" x14ac:dyDescent="0.2">
      <c r="A29" s="160"/>
      <c r="B29" s="16" t="s">
        <v>35</v>
      </c>
      <c r="C29" s="16" t="s">
        <v>43</v>
      </c>
      <c r="D29" s="22" t="s">
        <v>40</v>
      </c>
      <c r="E29" s="22"/>
    </row>
    <row r="30" spans="1:5" ht="31" x14ac:dyDescent="0.2">
      <c r="A30" s="160"/>
      <c r="B30" s="16" t="s">
        <v>30</v>
      </c>
      <c r="C30" s="18" t="s">
        <v>42</v>
      </c>
      <c r="D30" s="22">
        <f>D15+D15</f>
        <v>1337.3780000000002</v>
      </c>
      <c r="E30" s="17">
        <f>D30*10.764</f>
        <v>14395.536792000001</v>
      </c>
    </row>
    <row r="31" spans="1:5" x14ac:dyDescent="0.2">
      <c r="A31" s="160"/>
      <c r="B31" s="16" t="s">
        <v>27</v>
      </c>
      <c r="C31" s="16" t="s">
        <v>41</v>
      </c>
      <c r="D31" s="22" t="s">
        <v>40</v>
      </c>
      <c r="E31" s="22"/>
    </row>
    <row r="32" spans="1:5" x14ac:dyDescent="0.2">
      <c r="A32" s="160"/>
      <c r="B32" s="16" t="s">
        <v>39</v>
      </c>
      <c r="C32" s="16" t="s">
        <v>38</v>
      </c>
      <c r="D32" s="22">
        <f>D30</f>
        <v>1337.3780000000002</v>
      </c>
      <c r="E32" s="17">
        <f>D32*10.764</f>
        <v>14395.536792000001</v>
      </c>
    </row>
    <row r="33" spans="1:6" x14ac:dyDescent="0.2">
      <c r="A33" s="160">
        <v>12</v>
      </c>
      <c r="B33" s="16"/>
      <c r="C33" s="16" t="s">
        <v>37</v>
      </c>
      <c r="D33" s="23"/>
      <c r="E33" s="23"/>
    </row>
    <row r="34" spans="1:6" x14ac:dyDescent="0.2">
      <c r="A34" s="160">
        <v>13</v>
      </c>
      <c r="B34" s="16"/>
      <c r="C34" s="16" t="s">
        <v>36</v>
      </c>
      <c r="D34" s="17"/>
      <c r="E34" s="17"/>
    </row>
    <row r="35" spans="1:6" x14ac:dyDescent="0.2">
      <c r="A35" s="160"/>
      <c r="B35" s="16" t="s">
        <v>35</v>
      </c>
      <c r="C35" s="16" t="s">
        <v>34</v>
      </c>
      <c r="D35" s="17">
        <f>D24+D27+D32</f>
        <v>52759.562100000003</v>
      </c>
      <c r="E35" s="17">
        <f>D35*10.764</f>
        <v>567903.92644439999</v>
      </c>
    </row>
    <row r="36" spans="1:6" x14ac:dyDescent="0.2">
      <c r="A36" s="160"/>
      <c r="B36" s="16"/>
      <c r="C36" s="18" t="s">
        <v>33</v>
      </c>
      <c r="D36" s="260">
        <v>10737.78</v>
      </c>
      <c r="E36" s="17">
        <f>D36*10.764</f>
        <v>115581.46391999999</v>
      </c>
    </row>
    <row r="37" spans="1:6" x14ac:dyDescent="0.2">
      <c r="A37" s="160"/>
      <c r="B37" s="16"/>
      <c r="C37" s="16" t="s">
        <v>32</v>
      </c>
      <c r="D37" s="17">
        <f>D35-D36</f>
        <v>42021.782100000004</v>
      </c>
      <c r="E37" s="17">
        <f>D37*10.764</f>
        <v>452322.46252440003</v>
      </c>
    </row>
    <row r="38" spans="1:6" x14ac:dyDescent="0.2">
      <c r="A38" s="160"/>
      <c r="B38" s="16"/>
      <c r="C38" s="114">
        <v>0.15</v>
      </c>
      <c r="D38" s="17">
        <f>D37*C38</f>
        <v>6303.2673150000001</v>
      </c>
      <c r="E38" s="17">
        <f>D38*10.764</f>
        <v>67848.369378659991</v>
      </c>
    </row>
    <row r="39" spans="1:6" x14ac:dyDescent="0.2">
      <c r="A39" s="160"/>
      <c r="B39" s="16"/>
      <c r="C39" s="24" t="s">
        <v>31</v>
      </c>
      <c r="D39" s="17">
        <f>D37-D38</f>
        <v>35718.514785000007</v>
      </c>
      <c r="E39" s="17">
        <f>D39*10.764</f>
        <v>384474.09314574004</v>
      </c>
    </row>
    <row r="40" spans="1:6" x14ac:dyDescent="0.2">
      <c r="A40" s="160"/>
      <c r="B40" s="16" t="s">
        <v>30</v>
      </c>
      <c r="C40" s="16" t="s">
        <v>29</v>
      </c>
      <c r="D40" s="17"/>
      <c r="E40" s="17"/>
    </row>
    <row r="41" spans="1:6" x14ac:dyDescent="0.2">
      <c r="A41" s="160"/>
      <c r="B41" s="16"/>
      <c r="C41" s="115">
        <v>0.6</v>
      </c>
      <c r="D41" s="17">
        <f>D39*C41</f>
        <v>21431.108871000004</v>
      </c>
      <c r="E41" s="17">
        <f t="shared" ref="E41:E47" si="0">D41*10.764</f>
        <v>230684.45588744403</v>
      </c>
    </row>
    <row r="42" spans="1:6" x14ac:dyDescent="0.2">
      <c r="A42" s="160"/>
      <c r="B42" s="16"/>
      <c r="C42" s="116">
        <v>0.8</v>
      </c>
      <c r="D42" s="17">
        <f>D38*C42</f>
        <v>5042.6138520000004</v>
      </c>
      <c r="E42" s="17">
        <f t="shared" si="0"/>
        <v>54278.695502928</v>
      </c>
    </row>
    <row r="43" spans="1:6" x14ac:dyDescent="0.2">
      <c r="A43" s="160"/>
      <c r="B43" s="16"/>
      <c r="C43" s="24" t="s">
        <v>28</v>
      </c>
      <c r="D43" s="17">
        <f>D41+D42</f>
        <v>26473.722723000006</v>
      </c>
      <c r="E43" s="17">
        <f t="shared" si="0"/>
        <v>284963.15139037208</v>
      </c>
    </row>
    <row r="44" spans="1:6" x14ac:dyDescent="0.2">
      <c r="A44" s="160"/>
      <c r="B44" s="16" t="s">
        <v>27</v>
      </c>
      <c r="C44" s="16" t="s">
        <v>26</v>
      </c>
      <c r="D44" s="17">
        <f>D37+D43</f>
        <v>68495.50482300001</v>
      </c>
      <c r="E44" s="17">
        <f t="shared" si="0"/>
        <v>737285.61391477205</v>
      </c>
    </row>
    <row r="45" spans="1:6" x14ac:dyDescent="0.2">
      <c r="A45" s="160"/>
      <c r="B45" s="16"/>
      <c r="C45" s="16" t="s">
        <v>25</v>
      </c>
      <c r="D45" s="17">
        <f>D41+D39</f>
        <v>57149.623656000011</v>
      </c>
      <c r="E45" s="17">
        <f t="shared" si="0"/>
        <v>615158.54903318407</v>
      </c>
    </row>
    <row r="46" spans="1:6" x14ac:dyDescent="0.2">
      <c r="A46" s="160"/>
      <c r="B46" s="16"/>
      <c r="C46" s="16" t="s">
        <v>24</v>
      </c>
      <c r="D46" s="17">
        <f>D42+D38</f>
        <v>11345.881167</v>
      </c>
      <c r="E46" s="17">
        <f t="shared" si="0"/>
        <v>122127.06488158798</v>
      </c>
    </row>
    <row r="47" spans="1:6" ht="47" x14ac:dyDescent="0.2">
      <c r="A47" s="160">
        <v>14</v>
      </c>
      <c r="B47" s="16"/>
      <c r="C47" s="18" t="s">
        <v>23</v>
      </c>
      <c r="D47" s="15">
        <f>D44</f>
        <v>68495.50482300001</v>
      </c>
      <c r="E47" s="15">
        <f t="shared" si="0"/>
        <v>737285.61391477205</v>
      </c>
    </row>
    <row r="48" spans="1:6" ht="15" x14ac:dyDescent="0.2">
      <c r="A48" s="161">
        <v>15</v>
      </c>
      <c r="B48" s="16"/>
      <c r="C48" s="166">
        <f>Input!B25</f>
        <v>0.73</v>
      </c>
      <c r="D48" s="135">
        <f>D47*Input!B25</f>
        <v>50001.718520790004</v>
      </c>
      <c r="E48" s="135">
        <f>E47*C48</f>
        <v>538218.49815778353</v>
      </c>
      <c r="F48" s="10" t="b">
        <f>E48&lt;E45</f>
        <v>1</v>
      </c>
    </row>
    <row r="49" spans="1:11" ht="15" x14ac:dyDescent="0.2">
      <c r="A49" s="161">
        <v>16</v>
      </c>
      <c r="B49" s="16"/>
      <c r="C49" s="167">
        <f>Input!B26</f>
        <v>0.02</v>
      </c>
      <c r="D49" s="135">
        <f>D46*Input!B26</f>
        <v>226.91762334000001</v>
      </c>
      <c r="E49" s="135">
        <f>E47*C49</f>
        <v>14745.712278295441</v>
      </c>
      <c r="F49" s="10" t="b">
        <f>E49&lt;E46</f>
        <v>1</v>
      </c>
    </row>
    <row r="50" spans="1:11" ht="15" x14ac:dyDescent="0.2">
      <c r="A50" s="161">
        <v>17</v>
      </c>
      <c r="B50" s="16"/>
      <c r="C50" s="136" t="s">
        <v>208</v>
      </c>
      <c r="D50" s="135">
        <f>SUM(D48:D49)</f>
        <v>50228.636144130003</v>
      </c>
      <c r="E50" s="135">
        <f>SUM(E48:E49)</f>
        <v>552964.21043607895</v>
      </c>
      <c r="F50" s="113">
        <f>E50/E47</f>
        <v>0.74999999999999989</v>
      </c>
    </row>
    <row r="51" spans="1:11" x14ac:dyDescent="0.2">
      <c r="A51" s="162"/>
      <c r="C51" s="10" t="s">
        <v>22</v>
      </c>
      <c r="E51" s="171">
        <f>E50</f>
        <v>552964.21043607895</v>
      </c>
    </row>
    <row r="53" spans="1:11" customFormat="1" x14ac:dyDescent="0.2">
      <c r="C53" s="320" t="s">
        <v>302</v>
      </c>
      <c r="D53" s="321"/>
    </row>
    <row r="54" spans="1:11" customFormat="1" x14ac:dyDescent="0.2">
      <c r="C54" s="1" t="s">
        <v>201</v>
      </c>
      <c r="D54" s="169">
        <f>G69/E47</f>
        <v>1.3611215544862179</v>
      </c>
    </row>
    <row r="55" spans="1:11" customFormat="1" x14ac:dyDescent="0.2">
      <c r="C55" s="1" t="s">
        <v>202</v>
      </c>
      <c r="D55" s="310">
        <f>H69/E51</f>
        <v>1.9846702318735741</v>
      </c>
    </row>
    <row r="56" spans="1:11" customFormat="1" ht="17" x14ac:dyDescent="0.2">
      <c r="C56" s="129" t="s">
        <v>217</v>
      </c>
      <c r="D56" s="169">
        <v>1.6290480238658087</v>
      </c>
    </row>
    <row r="57" spans="1:11" customFormat="1" ht="17" x14ac:dyDescent="0.2">
      <c r="C57" s="129" t="s">
        <v>218</v>
      </c>
      <c r="D57" s="169">
        <v>1.2116731876220612</v>
      </c>
    </row>
    <row r="58" spans="1:11" customFormat="1" ht="17" x14ac:dyDescent="0.2">
      <c r="C58" s="129" t="s">
        <v>301</v>
      </c>
      <c r="D58" s="169">
        <f>G67/E51</f>
        <v>0.35123901043583283</v>
      </c>
    </row>
    <row r="59" spans="1:11" ht="15" x14ac:dyDescent="0.2">
      <c r="D59" s="10"/>
      <c r="E59" s="10"/>
    </row>
    <row r="60" spans="1:11" ht="15" x14ac:dyDescent="0.2">
      <c r="C60" s="263" t="s">
        <v>297</v>
      </c>
      <c r="D60" s="10"/>
      <c r="E60" s="10"/>
    </row>
    <row r="61" spans="1:11" ht="68" x14ac:dyDescent="0.2">
      <c r="A61" s="139" t="s">
        <v>193</v>
      </c>
      <c r="B61" s="139" t="s">
        <v>194</v>
      </c>
      <c r="C61" s="139" t="s">
        <v>6</v>
      </c>
      <c r="D61" s="140" t="s">
        <v>206</v>
      </c>
      <c r="E61" s="139" t="s">
        <v>195</v>
      </c>
      <c r="F61" s="140" t="s">
        <v>196</v>
      </c>
      <c r="G61" s="141" t="s">
        <v>303</v>
      </c>
      <c r="H61" s="141" t="s">
        <v>304</v>
      </c>
      <c r="I61" s="141" t="s">
        <v>307</v>
      </c>
      <c r="J61" s="141" t="s">
        <v>305</v>
      </c>
      <c r="K61" s="141" t="s">
        <v>306</v>
      </c>
    </row>
    <row r="62" spans="1:11" x14ac:dyDescent="0.2">
      <c r="A62" s="151" t="s">
        <v>203</v>
      </c>
      <c r="B62" s="139"/>
      <c r="C62" s="139"/>
      <c r="D62" s="139"/>
      <c r="E62" s="139"/>
      <c r="F62" s="140"/>
      <c r="G62" s="141"/>
      <c r="H62" s="141"/>
      <c r="I62" s="141"/>
      <c r="J62" s="141"/>
      <c r="K62" s="141"/>
    </row>
    <row r="63" spans="1:11" x14ac:dyDescent="0.2">
      <c r="A63" s="142">
        <v>1</v>
      </c>
      <c r="B63" s="139" t="s">
        <v>120</v>
      </c>
      <c r="C63" s="143" t="s">
        <v>300</v>
      </c>
      <c r="D63" s="144">
        <f>398.92+398.6+398.92+599.05</f>
        <v>1795.49</v>
      </c>
      <c r="E63" s="143">
        <v>35</v>
      </c>
      <c r="F63" s="145">
        <f>+E63*D63</f>
        <v>62842.15</v>
      </c>
      <c r="G63" s="146">
        <f>F63*10.764</f>
        <v>676432.90260000003</v>
      </c>
      <c r="H63" s="146">
        <f>E48*'FSI &amp; Area Cal'!D56</f>
        <v>876783.78083196061</v>
      </c>
      <c r="I63" s="146">
        <f>E48</f>
        <v>538218.49815778353</v>
      </c>
      <c r="J63" s="146">
        <v>450</v>
      </c>
      <c r="K63" s="146">
        <f>I63/J63</f>
        <v>1196.0411070172968</v>
      </c>
    </row>
    <row r="64" spans="1:11" x14ac:dyDescent="0.2">
      <c r="A64" s="142">
        <v>2</v>
      </c>
      <c r="B64" s="139" t="s">
        <v>117</v>
      </c>
      <c r="C64" s="143" t="s">
        <v>199</v>
      </c>
      <c r="D64" s="144">
        <v>384.93</v>
      </c>
      <c r="E64" s="143">
        <v>30</v>
      </c>
      <c r="F64" s="145">
        <f>+E64*D64</f>
        <v>11547.9</v>
      </c>
      <c r="G64" s="146">
        <f>F64*10.764</f>
        <v>124301.59559999999</v>
      </c>
      <c r="H64" s="146">
        <f>E49*'FSI &amp; Area Cal'!D57</f>
        <v>17866.984200000003</v>
      </c>
      <c r="I64" s="146">
        <f>E49</f>
        <v>14745.712278295441</v>
      </c>
      <c r="J64" s="146">
        <v>5000</v>
      </c>
      <c r="K64" s="146">
        <f>I64/J64</f>
        <v>2.9491424556590884</v>
      </c>
    </row>
    <row r="65" spans="1:11" x14ac:dyDescent="0.2">
      <c r="A65" s="152"/>
      <c r="B65" s="153"/>
      <c r="C65" s="148" t="s">
        <v>101</v>
      </c>
      <c r="D65" s="154"/>
      <c r="E65" s="148"/>
      <c r="F65" s="155"/>
      <c r="G65" s="156">
        <f>SUM(G63:G64)</f>
        <v>800734.49820000003</v>
      </c>
      <c r="H65" s="156">
        <f>SUM(H63:H64)</f>
        <v>894650.76503196056</v>
      </c>
      <c r="I65" s="156"/>
      <c r="J65" s="156"/>
      <c r="K65" s="156">
        <f>SUM(K63:K64)</f>
        <v>1198.9902494729558</v>
      </c>
    </row>
    <row r="66" spans="1:11" ht="15" x14ac:dyDescent="0.2">
      <c r="A66" s="151" t="s">
        <v>298</v>
      </c>
      <c r="B66" s="139"/>
      <c r="C66" s="139"/>
      <c r="D66" s="139"/>
      <c r="E66" s="139"/>
      <c r="F66" s="140"/>
      <c r="G66" s="140"/>
      <c r="H66" s="140"/>
      <c r="I66" s="140"/>
      <c r="J66" s="140"/>
      <c r="K66" s="140"/>
    </row>
    <row r="67" spans="1:11" x14ac:dyDescent="0.2">
      <c r="A67" s="142">
        <v>3</v>
      </c>
      <c r="B67" s="139" t="s">
        <v>138</v>
      </c>
      <c r="C67" s="143" t="s">
        <v>299</v>
      </c>
      <c r="D67" s="144">
        <v>4510.93</v>
      </c>
      <c r="E67" s="143">
        <v>4</v>
      </c>
      <c r="F67" s="145">
        <f>+E67*D67</f>
        <v>18043.72</v>
      </c>
      <c r="G67" s="146">
        <f>F67*10.764</f>
        <v>194222.60208000001</v>
      </c>
      <c r="H67" s="146">
        <f>F67*10.764</f>
        <v>194222.60208000001</v>
      </c>
      <c r="I67" s="146"/>
      <c r="J67" s="146">
        <v>350</v>
      </c>
      <c r="K67" s="146">
        <f>H67/J67</f>
        <v>554.92172022857142</v>
      </c>
    </row>
    <row r="68" spans="1:11" x14ac:dyDescent="0.2">
      <c r="A68" s="142">
        <v>4</v>
      </c>
      <c r="B68" s="139" t="s">
        <v>115</v>
      </c>
      <c r="C68" s="143" t="s">
        <v>200</v>
      </c>
      <c r="D68" s="144">
        <f>443.51+217.303+136.125</f>
        <v>796.93799999999999</v>
      </c>
      <c r="E68" s="143">
        <v>1</v>
      </c>
      <c r="F68" s="145">
        <f>+E68*D68</f>
        <v>796.93799999999999</v>
      </c>
      <c r="G68" s="146">
        <f>F68*10.764</f>
        <v>8578.2406319999991</v>
      </c>
      <c r="H68" s="146">
        <f>F68*10.764</f>
        <v>8578.2406319999991</v>
      </c>
      <c r="I68" s="146"/>
      <c r="J68" s="146"/>
      <c r="K68" s="146"/>
    </row>
    <row r="69" spans="1:11" x14ac:dyDescent="0.2">
      <c r="A69" s="152"/>
      <c r="B69" s="153"/>
      <c r="C69" s="148" t="s">
        <v>211</v>
      </c>
      <c r="D69" s="154"/>
      <c r="E69" s="148"/>
      <c r="F69" s="155"/>
      <c r="G69" s="156">
        <f>G68+G67+G65</f>
        <v>1003535.340912</v>
      </c>
      <c r="H69" s="156">
        <f>H68+H67+H65</f>
        <v>1097451.6077439606</v>
      </c>
      <c r="I69" s="156"/>
      <c r="J69" s="156"/>
      <c r="K69" s="156"/>
    </row>
    <row r="70" spans="1:11" ht="15" x14ac:dyDescent="0.15">
      <c r="A70" s="151" t="s">
        <v>204</v>
      </c>
      <c r="B70" s="139"/>
      <c r="C70" s="143"/>
      <c r="D70" s="144"/>
      <c r="E70" s="143"/>
      <c r="F70" s="145"/>
      <c r="G70" s="145"/>
      <c r="H70" s="145"/>
      <c r="I70" s="145"/>
      <c r="J70" s="145"/>
      <c r="K70" s="145"/>
    </row>
    <row r="71" spans="1:11" x14ac:dyDescent="0.2">
      <c r="A71" s="142">
        <v>5</v>
      </c>
      <c r="B71" s="139" t="s">
        <v>131</v>
      </c>
      <c r="C71" s="143" t="s">
        <v>197</v>
      </c>
      <c r="D71" s="144">
        <v>1819.97</v>
      </c>
      <c r="E71" s="143">
        <v>1</v>
      </c>
      <c r="F71" s="145">
        <f>+E71*D71</f>
        <v>1819.97</v>
      </c>
      <c r="G71" s="146">
        <f>F71*10.764</f>
        <v>19590.157080000001</v>
      </c>
      <c r="H71" s="146">
        <f>F71*10.764</f>
        <v>19590.157080000001</v>
      </c>
      <c r="I71" s="146"/>
      <c r="J71" s="146"/>
      <c r="K71" s="146"/>
    </row>
    <row r="72" spans="1:11" x14ac:dyDescent="0.2">
      <c r="A72" s="142">
        <v>6</v>
      </c>
      <c r="B72" s="139" t="s">
        <v>198</v>
      </c>
      <c r="C72" s="143" t="s">
        <v>205</v>
      </c>
      <c r="D72" s="144">
        <v>535.72</v>
      </c>
      <c r="E72" s="143">
        <v>4</v>
      </c>
      <c r="F72" s="145">
        <f>+E72*D72</f>
        <v>2142.88</v>
      </c>
      <c r="G72" s="146">
        <f>F72*10.764</f>
        <v>23065.960319999998</v>
      </c>
      <c r="H72" s="146">
        <f>F72*10.764</f>
        <v>23065.960319999998</v>
      </c>
      <c r="I72" s="146"/>
      <c r="J72" s="146"/>
      <c r="K72" s="146"/>
    </row>
    <row r="73" spans="1:11" x14ac:dyDescent="0.15">
      <c r="A73" s="152"/>
      <c r="B73" s="153"/>
      <c r="C73" s="148" t="s">
        <v>101</v>
      </c>
      <c r="D73" s="154"/>
      <c r="E73" s="148"/>
      <c r="F73" s="155"/>
      <c r="G73" s="159">
        <f>SUM(G71:G72)</f>
        <v>42656.117400000003</v>
      </c>
      <c r="H73" s="159">
        <f>SUM(H71:H72)</f>
        <v>42656.117400000003</v>
      </c>
      <c r="I73" s="159"/>
      <c r="J73" s="159"/>
      <c r="K73" s="159"/>
    </row>
    <row r="74" spans="1:11" ht="15" x14ac:dyDescent="0.2">
      <c r="A74" s="147"/>
      <c r="B74" s="147"/>
      <c r="C74" s="148" t="s">
        <v>101</v>
      </c>
      <c r="D74" s="149"/>
      <c r="E74" s="147"/>
      <c r="F74" s="150">
        <f>SUM(F71:F73)</f>
        <v>3962.8500000000004</v>
      </c>
      <c r="G74" s="150">
        <f>SUM(G67:G68)</f>
        <v>202800.84271200001</v>
      </c>
      <c r="H74" s="150">
        <f>SUM(H67:H68)</f>
        <v>202800.84271200001</v>
      </c>
      <c r="I74" s="150"/>
      <c r="J74" s="150"/>
      <c r="K74" s="150"/>
    </row>
    <row r="76" spans="1:11" x14ac:dyDescent="0.2">
      <c r="G76" s="163"/>
      <c r="H76" s="163"/>
      <c r="I76" s="163"/>
    </row>
    <row r="80" spans="1:11" customFormat="1" x14ac:dyDescent="0.2"/>
    <row r="81" spans="3:4" customFormat="1" x14ac:dyDescent="0.2">
      <c r="C81" s="10"/>
      <c r="D81" s="11"/>
    </row>
    <row r="82" spans="3:4" customFormat="1" x14ac:dyDescent="0.2">
      <c r="C82" s="10"/>
      <c r="D82" s="11"/>
    </row>
    <row r="83" spans="3:4" customFormat="1" x14ac:dyDescent="0.2">
      <c r="C83" s="10"/>
      <c r="D83" s="11"/>
    </row>
    <row r="84" spans="3:4" customFormat="1" x14ac:dyDescent="0.2">
      <c r="C84" s="10"/>
      <c r="D84" s="11"/>
    </row>
    <row r="85" spans="3:4" customFormat="1" x14ac:dyDescent="0.2">
      <c r="C85" s="10"/>
      <c r="D85" s="11"/>
    </row>
    <row r="118" spans="7:9" x14ac:dyDescent="0.2">
      <c r="G118" s="14"/>
      <c r="H118" s="14"/>
      <c r="I118" s="14"/>
    </row>
    <row r="119" spans="7:9" x14ac:dyDescent="0.2">
      <c r="G119" s="13"/>
      <c r="H119" s="13"/>
      <c r="I119" s="13"/>
    </row>
    <row r="120" spans="7:9" x14ac:dyDescent="0.2">
      <c r="G120" s="12"/>
      <c r="H120" s="12"/>
      <c r="I120" s="12"/>
    </row>
  </sheetData>
  <mergeCells count="3">
    <mergeCell ref="A2:E2"/>
    <mergeCell ref="A3:E3"/>
    <mergeCell ref="C53:D53"/>
  </mergeCells>
  <pageMargins left="0.7" right="0.7" top="0.75" bottom="0.75" header="0.3" footer="0.3"/>
  <pageSetup paperSize="9" scale="83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A12F-BE5B-9248-8093-73E4CF392BAF}">
  <dimension ref="A1:K51"/>
  <sheetViews>
    <sheetView zoomScale="112" zoomScaleNormal="66" workbookViewId="0">
      <selection activeCell="E27" sqref="E27"/>
    </sheetView>
  </sheetViews>
  <sheetFormatPr baseColWidth="10" defaultRowHeight="16" x14ac:dyDescent="0.2"/>
  <cols>
    <col min="1" max="1" width="27.33203125" style="4" customWidth="1"/>
    <col min="2" max="2" width="5.5" style="3" customWidth="1"/>
    <col min="3" max="3" width="12" style="2" customWidth="1"/>
    <col min="4" max="4" width="13.6640625" style="2" customWidth="1"/>
    <col min="5" max="5" width="10.83203125" style="2"/>
    <col min="6" max="6" width="13.6640625" style="2" customWidth="1"/>
    <col min="7" max="16384" width="10.83203125" style="2"/>
  </cols>
  <sheetData>
    <row r="1" spans="1:8" ht="15" x14ac:dyDescent="0.2">
      <c r="A1" s="322" t="s">
        <v>207</v>
      </c>
      <c r="B1" s="323"/>
      <c r="C1" s="323"/>
      <c r="D1" s="323"/>
      <c r="E1" s="323"/>
      <c r="F1" s="323"/>
      <c r="G1" s="324"/>
    </row>
    <row r="2" spans="1:8" x14ac:dyDescent="0.2">
      <c r="A2" s="268" t="s">
        <v>0</v>
      </c>
      <c r="B2" s="269"/>
      <c r="C2" s="269"/>
      <c r="D2" s="269"/>
      <c r="E2" s="270"/>
      <c r="F2" s="269"/>
      <c r="G2" s="269"/>
    </row>
    <row r="3" spans="1:8" x14ac:dyDescent="0.2">
      <c r="A3" s="271" t="s">
        <v>1</v>
      </c>
      <c r="B3" s="272"/>
      <c r="C3" s="272"/>
      <c r="D3" s="272"/>
      <c r="E3" s="272"/>
      <c r="F3" s="272"/>
      <c r="G3" s="272"/>
    </row>
    <row r="4" spans="1:8" ht="32" x14ac:dyDescent="0.2">
      <c r="A4" s="273"/>
      <c r="B4" s="274"/>
      <c r="C4" s="274"/>
      <c r="D4" s="285" t="s">
        <v>3</v>
      </c>
      <c r="E4" s="274"/>
      <c r="F4" s="274"/>
      <c r="G4" s="285" t="s">
        <v>4</v>
      </c>
    </row>
    <row r="5" spans="1:8" x14ac:dyDescent="0.2">
      <c r="A5" s="275" t="s">
        <v>5</v>
      </c>
      <c r="B5" s="276"/>
      <c r="C5" s="276"/>
      <c r="D5" s="276">
        <f>'FSI &amp; Area Cal'!E47</f>
        <v>737285.61391477205</v>
      </c>
      <c r="E5" s="276"/>
      <c r="F5" s="276"/>
      <c r="G5" s="276">
        <f>'FSI &amp; Area Cal'!E51</f>
        <v>552964.21043607895</v>
      </c>
    </row>
    <row r="6" spans="1:8" x14ac:dyDescent="0.2">
      <c r="A6" s="277" t="s">
        <v>213</v>
      </c>
      <c r="B6" s="278"/>
      <c r="C6" s="278"/>
      <c r="D6" s="279">
        <f>'FSI &amp; Area Cal'!H63</f>
        <v>876783.78083196061</v>
      </c>
      <c r="E6" s="270"/>
      <c r="F6" s="278"/>
      <c r="G6" s="279">
        <f>'FSI &amp; Area Cal'!E48</f>
        <v>538218.49815778353</v>
      </c>
    </row>
    <row r="7" spans="1:8" x14ac:dyDescent="0.2">
      <c r="A7" s="277" t="s">
        <v>214</v>
      </c>
      <c r="B7" s="278"/>
      <c r="C7" s="278"/>
      <c r="D7" s="279">
        <f>'FSI &amp; Area Cal'!H64</f>
        <v>17866.984200000003</v>
      </c>
      <c r="E7" s="270"/>
      <c r="F7" s="278"/>
      <c r="G7" s="279">
        <f>'FSI &amp; Area Cal'!E49</f>
        <v>14745.712278295441</v>
      </c>
    </row>
    <row r="8" spans="1:8" x14ac:dyDescent="0.2">
      <c r="A8" s="277" t="s">
        <v>212</v>
      </c>
      <c r="B8" s="280"/>
      <c r="C8" s="280"/>
      <c r="D8" s="279">
        <f>'FSI &amp; Area Cal'!H65</f>
        <v>894650.76503196056</v>
      </c>
      <c r="E8" s="270"/>
      <c r="F8" s="280"/>
      <c r="G8" s="281"/>
    </row>
    <row r="9" spans="1:8" x14ac:dyDescent="0.2">
      <c r="A9" s="277" t="s">
        <v>209</v>
      </c>
      <c r="B9" s="278"/>
      <c r="C9" s="278"/>
      <c r="D9" s="279">
        <f>'FSI &amp; Area Cal'!H68</f>
        <v>8578.2406319999991</v>
      </c>
      <c r="E9" s="270"/>
      <c r="F9" s="278"/>
      <c r="G9" s="281"/>
    </row>
    <row r="10" spans="1:8" x14ac:dyDescent="0.2">
      <c r="A10" s="277" t="s">
        <v>210</v>
      </c>
      <c r="B10" s="278"/>
      <c r="C10" s="278"/>
      <c r="D10" s="279">
        <f>'FSI &amp; Area Cal'!H67</f>
        <v>194222.60208000001</v>
      </c>
      <c r="E10" s="270"/>
      <c r="F10" s="278"/>
      <c r="G10" s="281"/>
    </row>
    <row r="11" spans="1:8" x14ac:dyDescent="0.2">
      <c r="A11" s="275" t="s">
        <v>211</v>
      </c>
      <c r="B11" s="282"/>
      <c r="C11" s="280"/>
      <c r="D11" s="283">
        <f>SUM(D8:D10)</f>
        <v>1097451.6077439606</v>
      </c>
      <c r="E11" s="284">
        <f>D11/G5</f>
        <v>1.9846702318735741</v>
      </c>
      <c r="F11" s="280"/>
      <c r="G11" s="283">
        <f>SUM(G6:G10)</f>
        <v>552964.21043607895</v>
      </c>
    </row>
    <row r="12" spans="1:8" ht="32" x14ac:dyDescent="0.2">
      <c r="A12" s="285" t="s">
        <v>6</v>
      </c>
      <c r="B12" s="286" t="s">
        <v>143</v>
      </c>
      <c r="C12" s="285" t="s">
        <v>142</v>
      </c>
      <c r="D12" s="286" t="s">
        <v>314</v>
      </c>
      <c r="E12" s="286" t="s">
        <v>8</v>
      </c>
      <c r="F12" s="285" t="s">
        <v>310</v>
      </c>
      <c r="G12" s="285" t="s">
        <v>311</v>
      </c>
    </row>
    <row r="13" spans="1:8" x14ac:dyDescent="0.2">
      <c r="A13" s="277" t="s">
        <v>9</v>
      </c>
      <c r="B13" s="287" t="s">
        <v>67</v>
      </c>
      <c r="C13" s="288">
        <f>D6</f>
        <v>876783.78083196061</v>
      </c>
      <c r="D13" s="6"/>
      <c r="E13" s="289">
        <f>C13*F13/10^7</f>
        <v>1.402854049331137</v>
      </c>
      <c r="F13" s="258">
        <v>16</v>
      </c>
      <c r="G13" s="279">
        <f>E13*10^7/$G$6</f>
        <v>26.064768381852939</v>
      </c>
      <c r="H13" s="9"/>
    </row>
    <row r="14" spans="1:8" ht="32" x14ac:dyDescent="0.2">
      <c r="A14" s="277" t="s">
        <v>10</v>
      </c>
      <c r="B14" s="287" t="s">
        <v>67</v>
      </c>
      <c r="C14" s="288">
        <f>C13</f>
        <v>876783.78083196061</v>
      </c>
      <c r="D14" s="6"/>
      <c r="E14" s="289">
        <f>C14*F14/10^7</f>
        <v>141.33754547011205</v>
      </c>
      <c r="F14" s="258">
        <v>1612</v>
      </c>
      <c r="G14" s="279">
        <f t="shared" ref="G14:G18" si="0">E14*10^7/$G$6</f>
        <v>2626.0254144716832</v>
      </c>
    </row>
    <row r="15" spans="1:8" ht="32" x14ac:dyDescent="0.2">
      <c r="A15" s="277" t="s">
        <v>11</v>
      </c>
      <c r="B15" s="287" t="s">
        <v>67</v>
      </c>
      <c r="C15" s="288">
        <f t="shared" ref="C15:C16" si="1">C14</f>
        <v>876783.78083196061</v>
      </c>
      <c r="D15" s="6"/>
      <c r="E15" s="289">
        <f>C15*F15/10^7</f>
        <v>56.990945754077437</v>
      </c>
      <c r="F15" s="258">
        <v>650</v>
      </c>
      <c r="G15" s="279">
        <f t="shared" si="0"/>
        <v>1058.8812155127755</v>
      </c>
    </row>
    <row r="16" spans="1:8" ht="32" x14ac:dyDescent="0.2">
      <c r="A16" s="277" t="s">
        <v>12</v>
      </c>
      <c r="B16" s="287" t="s">
        <v>67</v>
      </c>
      <c r="C16" s="288">
        <f t="shared" si="1"/>
        <v>876783.78083196061</v>
      </c>
      <c r="D16" s="6"/>
      <c r="E16" s="289">
        <f>C16*F16/10^7</f>
        <v>43.839189041598026</v>
      </c>
      <c r="F16" s="258">
        <v>500</v>
      </c>
      <c r="G16" s="279">
        <f t="shared" si="0"/>
        <v>814.52401193290427</v>
      </c>
    </row>
    <row r="17" spans="1:11" x14ac:dyDescent="0.2">
      <c r="A17" s="290" t="s">
        <v>13</v>
      </c>
      <c r="B17" s="291"/>
      <c r="C17" s="291"/>
      <c r="D17" s="292"/>
      <c r="E17" s="292">
        <f>SUM(E13:E16)</f>
        <v>243.57053431511864</v>
      </c>
      <c r="F17" s="291">
        <f>SUM(F13:F16)</f>
        <v>2778</v>
      </c>
      <c r="G17" s="293">
        <f>SUM(G13:G16)</f>
        <v>4525.495410299216</v>
      </c>
    </row>
    <row r="18" spans="1:11" x14ac:dyDescent="0.2">
      <c r="A18" s="277" t="s">
        <v>14</v>
      </c>
      <c r="B18" s="288"/>
      <c r="C18" s="288"/>
      <c r="D18" s="303">
        <v>0.04</v>
      </c>
      <c r="E18" s="289">
        <f>D18*E17</f>
        <v>9.7428213726047463</v>
      </c>
      <c r="F18" s="288">
        <f>D18*F17</f>
        <v>111.12</v>
      </c>
      <c r="G18" s="279">
        <f t="shared" si="0"/>
        <v>181.01981641196863</v>
      </c>
      <c r="H18" s="5"/>
      <c r="I18" s="4"/>
      <c r="J18" s="4"/>
      <c r="K18" s="4"/>
    </row>
    <row r="19" spans="1:11" ht="32" x14ac:dyDescent="0.2">
      <c r="A19" s="277" t="s">
        <v>15</v>
      </c>
      <c r="B19" s="288"/>
      <c r="C19" s="288"/>
      <c r="D19" s="303">
        <v>0.02</v>
      </c>
      <c r="E19" s="289">
        <f>D19*E17</f>
        <v>4.8714106863023732</v>
      </c>
      <c r="F19" s="288">
        <f>D19*F17</f>
        <v>55.56</v>
      </c>
      <c r="G19" s="279">
        <f>E19*10^7/$G$6</f>
        <v>90.509908205984317</v>
      </c>
      <c r="H19" s="5"/>
      <c r="I19" s="4"/>
      <c r="J19" s="4"/>
      <c r="K19" s="4"/>
    </row>
    <row r="20" spans="1:11" x14ac:dyDescent="0.2">
      <c r="A20" s="290" t="s">
        <v>16</v>
      </c>
      <c r="B20" s="293"/>
      <c r="C20" s="293"/>
      <c r="D20" s="293"/>
      <c r="E20" s="293">
        <f>E17+SUM(E18:E19)</f>
        <v>258.18476637402574</v>
      </c>
      <c r="F20" s="293">
        <f t="shared" ref="F20:G20" si="2">F17+SUM(F18:F19)</f>
        <v>2944.68</v>
      </c>
      <c r="G20" s="293">
        <f t="shared" si="2"/>
        <v>4797.0251349171685</v>
      </c>
      <c r="H20" s="5"/>
      <c r="I20" s="4"/>
      <c r="J20" s="4"/>
      <c r="K20" s="4"/>
    </row>
    <row r="21" spans="1:11" x14ac:dyDescent="0.2">
      <c r="A21" s="277" t="s">
        <v>17</v>
      </c>
      <c r="B21" s="287" t="s">
        <v>67</v>
      </c>
      <c r="C21" s="289">
        <f>D11</f>
        <v>1097451.6077439606</v>
      </c>
      <c r="D21" s="303">
        <v>0.04</v>
      </c>
      <c r="E21" s="289">
        <f>C21*F21/10^7</f>
        <v>12.926575201165942</v>
      </c>
      <c r="F21" s="289">
        <f>D21*$F$20</f>
        <v>117.7872</v>
      </c>
      <c r="G21" s="279">
        <f>E21*10^7/$G$6</f>
        <v>240.17337281069078</v>
      </c>
    </row>
    <row r="22" spans="1:11" x14ac:dyDescent="0.2">
      <c r="A22" s="277" t="s">
        <v>18</v>
      </c>
      <c r="B22" s="270"/>
      <c r="C22" s="270"/>
      <c r="D22" s="303">
        <v>0</v>
      </c>
      <c r="E22" s="289">
        <v>0</v>
      </c>
      <c r="F22" s="289">
        <f t="shared" ref="F22:F23" si="3">D22*$F$20</f>
        <v>0</v>
      </c>
      <c r="G22" s="279">
        <f t="shared" ref="G22:G24" si="4">E22*10^7/$G$6</f>
        <v>0</v>
      </c>
    </row>
    <row r="23" spans="1:11" x14ac:dyDescent="0.2">
      <c r="A23" s="277" t="s">
        <v>19</v>
      </c>
      <c r="B23" s="270"/>
      <c r="C23" s="270"/>
      <c r="D23" s="303">
        <v>0</v>
      </c>
      <c r="E23" s="289">
        <v>0</v>
      </c>
      <c r="F23" s="289">
        <f t="shared" si="3"/>
        <v>0</v>
      </c>
      <c r="G23" s="279">
        <f t="shared" si="4"/>
        <v>0</v>
      </c>
    </row>
    <row r="24" spans="1:11" x14ac:dyDescent="0.2">
      <c r="A24" s="277" t="s">
        <v>20</v>
      </c>
      <c r="B24" s="287" t="s">
        <v>67</v>
      </c>
      <c r="C24" s="289">
        <f>C21</f>
        <v>1097451.6077439606</v>
      </c>
      <c r="D24" s="303">
        <v>0.02</v>
      </c>
      <c r="E24" s="289">
        <f>C24*F24/10^7</f>
        <v>6.4632876005829711</v>
      </c>
      <c r="F24" s="289">
        <f>D24*$F$20</f>
        <v>58.893599999999999</v>
      </c>
      <c r="G24" s="279">
        <f t="shared" si="4"/>
        <v>120.08668640534539</v>
      </c>
    </row>
    <row r="25" spans="1:11" x14ac:dyDescent="0.2">
      <c r="A25" s="290" t="s">
        <v>21</v>
      </c>
      <c r="B25" s="293"/>
      <c r="C25" s="293"/>
      <c r="D25" s="294"/>
      <c r="E25" s="292">
        <f>SUM(E21:E24)</f>
        <v>19.389862801748912</v>
      </c>
      <c r="F25" s="292">
        <f>SUM(F21:F24)</f>
        <v>176.6808</v>
      </c>
      <c r="G25" s="292">
        <f>SUM(G21:G24)</f>
        <v>360.26005921603615</v>
      </c>
    </row>
    <row r="26" spans="1:11" ht="15" x14ac:dyDescent="0.2">
      <c r="A26" s="295"/>
      <c r="B26" s="295"/>
      <c r="C26" s="295"/>
      <c r="D26" s="295"/>
      <c r="E26" s="296"/>
      <c r="F26" s="295"/>
      <c r="G26" s="295"/>
    </row>
    <row r="27" spans="1:11" x14ac:dyDescent="0.2">
      <c r="A27" s="290" t="s">
        <v>215</v>
      </c>
      <c r="B27" s="297" t="s">
        <v>67</v>
      </c>
      <c r="C27" s="293">
        <f>D6</f>
        <v>876783.78083196061</v>
      </c>
      <c r="D27" s="298"/>
      <c r="E27" s="299">
        <f>F27*C27/10^7</f>
        <v>273.67585235646732</v>
      </c>
      <c r="F27" s="299">
        <f>F20+F25</f>
        <v>3121.3607999999999</v>
      </c>
      <c r="G27" s="299">
        <f>E27*10^7/$G$6</f>
        <v>5084.8466430121989</v>
      </c>
      <c r="I27" s="304"/>
    </row>
    <row r="28" spans="1:11" x14ac:dyDescent="0.2">
      <c r="A28" s="290" t="s">
        <v>216</v>
      </c>
      <c r="B28" s="297" t="s">
        <v>67</v>
      </c>
      <c r="C28" s="293">
        <f>D7</f>
        <v>17866.984200000003</v>
      </c>
      <c r="D28" s="298"/>
      <c r="E28" s="299">
        <f>F28*D7/10^7</f>
        <v>4.3774111290000004</v>
      </c>
      <c r="F28" s="258">
        <v>2450</v>
      </c>
      <c r="G28" s="293">
        <f>E28*10^7/G7</f>
        <v>2968.5993096740499</v>
      </c>
    </row>
    <row r="29" spans="1:11" x14ac:dyDescent="0.2">
      <c r="A29" s="290" t="s">
        <v>312</v>
      </c>
      <c r="B29" s="297" t="s">
        <v>67</v>
      </c>
      <c r="C29" s="292">
        <f>D9</f>
        <v>8578.2406319999991</v>
      </c>
      <c r="D29" s="292"/>
      <c r="E29" s="299">
        <f>F29*D9/10^7</f>
        <v>5.1469443791999998</v>
      </c>
      <c r="F29" s="258">
        <v>6000</v>
      </c>
      <c r="G29" s="293">
        <f>E29*10^7/$G$11</f>
        <v>93.079159230594925</v>
      </c>
    </row>
    <row r="30" spans="1:11" x14ac:dyDescent="0.2">
      <c r="A30" s="290" t="s">
        <v>313</v>
      </c>
      <c r="B30" s="297" t="s">
        <v>67</v>
      </c>
      <c r="C30" s="292">
        <f>D10</f>
        <v>194222.60208000001</v>
      </c>
      <c r="D30" s="292"/>
      <c r="E30" s="299">
        <f>F30*D10/10^7</f>
        <v>21.364486228800001</v>
      </c>
      <c r="F30" s="258">
        <v>1100</v>
      </c>
      <c r="G30" s="293">
        <f>E30*10^7/$G$11</f>
        <v>386.36291147941614</v>
      </c>
    </row>
    <row r="31" spans="1:11" ht="15" x14ac:dyDescent="0.2">
      <c r="A31" s="300"/>
      <c r="B31" s="295"/>
      <c r="C31" s="295"/>
      <c r="D31" s="295"/>
      <c r="E31" s="301"/>
      <c r="F31" s="295"/>
      <c r="G31" s="301"/>
    </row>
    <row r="32" spans="1:11" x14ac:dyDescent="0.2">
      <c r="A32" s="290" t="s">
        <v>101</v>
      </c>
      <c r="B32" s="297" t="s">
        <v>67</v>
      </c>
      <c r="C32" s="292">
        <f>D11</f>
        <v>1097451.6077439606</v>
      </c>
      <c r="D32" s="292"/>
      <c r="E32" s="302">
        <f>SUM(E27:E30)</f>
        <v>304.56469409346732</v>
      </c>
      <c r="F32" s="302">
        <f>E32*10^7/C32</f>
        <v>2775.1993066880027</v>
      </c>
      <c r="G32" s="302">
        <f>E32*10^7/$G$11</f>
        <v>5507.8554514998605</v>
      </c>
      <c r="H32" s="5"/>
      <c r="I32" s="4"/>
      <c r="J32" s="4"/>
      <c r="K32" s="4"/>
    </row>
    <row r="33" spans="1:11" ht="15" x14ac:dyDescent="0.2">
      <c r="A33" s="2"/>
      <c r="B33" s="2"/>
      <c r="H33" s="5"/>
      <c r="I33" s="133"/>
      <c r="J33" s="4"/>
      <c r="K33" s="4"/>
    </row>
    <row r="34" spans="1:11" ht="15" x14ac:dyDescent="0.2">
      <c r="A34" s="2"/>
      <c r="B34" s="2"/>
    </row>
    <row r="35" spans="1:11" ht="15" x14ac:dyDescent="0.2">
      <c r="A35" s="2"/>
      <c r="B35" s="2"/>
    </row>
    <row r="36" spans="1:11" ht="15" x14ac:dyDescent="0.2">
      <c r="A36" s="2"/>
      <c r="B36" s="2"/>
    </row>
    <row r="47" spans="1:11" s="25" customFormat="1" x14ac:dyDescent="0.2">
      <c r="A47" s="157"/>
      <c r="B47" s="158"/>
    </row>
    <row r="51" spans="1:2" s="25" customFormat="1" x14ac:dyDescent="0.2">
      <c r="A51" s="157"/>
      <c r="B51" s="158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2955-FE7E-234B-B9AA-535E11CB6D38}">
  <sheetPr>
    <pageSetUpPr fitToPage="1"/>
  </sheetPr>
  <dimension ref="A1:J22"/>
  <sheetViews>
    <sheetView zoomScale="144" workbookViewId="0">
      <selection activeCell="G22" sqref="G22"/>
    </sheetView>
  </sheetViews>
  <sheetFormatPr baseColWidth="10" defaultColWidth="8.6640625" defaultRowHeight="15" x14ac:dyDescent="0.2"/>
  <cols>
    <col min="1" max="1" width="3.6640625" style="79" bestFit="1" customWidth="1"/>
    <col min="2" max="2" width="54.1640625" style="82" customWidth="1"/>
    <col min="3" max="3" width="10.33203125" style="81" bestFit="1" customWidth="1"/>
    <col min="4" max="4" width="11.83203125" style="81" customWidth="1"/>
    <col min="5" max="5" width="11.1640625" style="80" customWidth="1"/>
    <col min="6" max="6" width="13.83203125" style="79" customWidth="1"/>
    <col min="7" max="7" width="12.33203125" style="79" bestFit="1" customWidth="1"/>
    <col min="8" max="8" width="44.83203125" style="78" bestFit="1" customWidth="1"/>
    <col min="9" max="9" width="8.6640625" style="78"/>
    <col min="10" max="10" width="12.6640625" style="78" bestFit="1" customWidth="1"/>
    <col min="11" max="16384" width="8.6640625" style="78"/>
  </cols>
  <sheetData>
    <row r="1" spans="1:10" x14ac:dyDescent="0.2">
      <c r="A1" s="111" t="s">
        <v>147</v>
      </c>
      <c r="D1" s="112"/>
    </row>
    <row r="2" spans="1:10" x14ac:dyDescent="0.2">
      <c r="A2" s="111"/>
    </row>
    <row r="3" spans="1:10" s="106" customFormat="1" ht="16.75" customHeight="1" x14ac:dyDescent="0.2">
      <c r="A3" s="110" t="s">
        <v>146</v>
      </c>
      <c r="B3" s="109" t="s">
        <v>145</v>
      </c>
      <c r="C3" s="89" t="s">
        <v>144</v>
      </c>
      <c r="D3" s="89" t="s">
        <v>143</v>
      </c>
      <c r="E3" s="108" t="s">
        <v>142</v>
      </c>
      <c r="F3" s="107" t="s">
        <v>141</v>
      </c>
      <c r="G3" s="107" t="s">
        <v>8</v>
      </c>
      <c r="H3" s="89" t="s">
        <v>140</v>
      </c>
    </row>
    <row r="4" spans="1:10" ht="16.75" customHeight="1" x14ac:dyDescent="0.2">
      <c r="A4" s="99">
        <v>1</v>
      </c>
      <c r="B4" s="98" t="s">
        <v>139</v>
      </c>
      <c r="C4" s="97" t="s">
        <v>138</v>
      </c>
      <c r="D4" s="96"/>
      <c r="E4" s="95"/>
      <c r="F4" s="94"/>
      <c r="G4" s="94"/>
      <c r="H4" s="93"/>
      <c r="J4" s="92"/>
    </row>
    <row r="5" spans="1:10" ht="16.75" customHeight="1" x14ac:dyDescent="0.2">
      <c r="A5" s="99"/>
      <c r="B5" s="103" t="s">
        <v>137</v>
      </c>
      <c r="C5" s="97"/>
      <c r="D5" s="96" t="s">
        <v>136</v>
      </c>
      <c r="E5" s="95">
        <f>13373.78/4046.86</f>
        <v>3.3047300870304386</v>
      </c>
      <c r="F5" s="94">
        <v>2000</v>
      </c>
      <c r="G5" s="94">
        <f>E5*F5</f>
        <v>6609.4601740608769</v>
      </c>
      <c r="H5" s="93" t="s">
        <v>135</v>
      </c>
      <c r="J5" s="92"/>
    </row>
    <row r="6" spans="1:10" ht="16.75" customHeight="1" x14ac:dyDescent="0.2">
      <c r="A6" s="99"/>
      <c r="B6" s="103" t="s">
        <v>134</v>
      </c>
      <c r="C6" s="97"/>
      <c r="D6" s="96" t="s">
        <v>102</v>
      </c>
      <c r="E6" s="95">
        <v>68495.5</v>
      </c>
      <c r="F6" s="94">
        <v>5</v>
      </c>
      <c r="G6" s="94">
        <f>E6*F6</f>
        <v>342477.5</v>
      </c>
      <c r="H6" s="93" t="s">
        <v>133</v>
      </c>
      <c r="J6" s="92"/>
    </row>
    <row r="7" spans="1:10" ht="16.75" customHeight="1" x14ac:dyDescent="0.2">
      <c r="A7" s="99">
        <v>2</v>
      </c>
      <c r="B7" s="98" t="s">
        <v>132</v>
      </c>
      <c r="C7" s="97" t="s">
        <v>131</v>
      </c>
      <c r="D7" s="96"/>
      <c r="E7" s="95"/>
      <c r="F7" s="94"/>
      <c r="G7" s="94"/>
      <c r="H7" s="93"/>
      <c r="J7" s="92"/>
    </row>
    <row r="8" spans="1:10" ht="16.75" customHeight="1" x14ac:dyDescent="0.2">
      <c r="A8" s="99"/>
      <c r="B8" s="103" t="s">
        <v>130</v>
      </c>
      <c r="C8" s="97"/>
      <c r="D8" s="96" t="s">
        <v>102</v>
      </c>
      <c r="E8" s="95">
        <v>13373.78</v>
      </c>
      <c r="F8" s="101">
        <v>5.0000000000000001E-3</v>
      </c>
      <c r="G8" s="94">
        <f>E8*31600*F8</f>
        <v>2113057.2400000002</v>
      </c>
      <c r="H8" s="93" t="s">
        <v>127</v>
      </c>
      <c r="J8" s="92"/>
    </row>
    <row r="9" spans="1:10" ht="16.75" customHeight="1" x14ac:dyDescent="0.2">
      <c r="A9" s="99"/>
      <c r="B9" s="103" t="s">
        <v>129</v>
      </c>
      <c r="C9" s="97"/>
      <c r="D9" s="96" t="s">
        <v>102</v>
      </c>
      <c r="E9" s="95">
        <v>62434.304000000004</v>
      </c>
      <c r="F9" s="101">
        <v>0.02</v>
      </c>
      <c r="G9" s="94">
        <f>E9*31600*F9</f>
        <v>39458480.128000006</v>
      </c>
      <c r="H9" s="93" t="s">
        <v>127</v>
      </c>
      <c r="J9" s="92"/>
    </row>
    <row r="10" spans="1:10" ht="16.75" customHeight="1" x14ac:dyDescent="0.2">
      <c r="A10" s="99"/>
      <c r="B10" s="103" t="s">
        <v>128</v>
      </c>
      <c r="C10" s="97"/>
      <c r="D10" s="96" t="s">
        <v>102</v>
      </c>
      <c r="E10" s="95">
        <v>5400</v>
      </c>
      <c r="F10" s="101">
        <v>0.04</v>
      </c>
      <c r="G10" s="94">
        <f>E10*31600*F10</f>
        <v>6825600</v>
      </c>
      <c r="H10" s="93" t="s">
        <v>127</v>
      </c>
      <c r="J10" s="92"/>
    </row>
    <row r="11" spans="1:10" ht="16.75" customHeight="1" x14ac:dyDescent="0.2">
      <c r="A11" s="94">
        <v>3</v>
      </c>
      <c r="B11" s="98" t="s">
        <v>126</v>
      </c>
      <c r="C11" s="97"/>
      <c r="D11" s="96"/>
      <c r="E11" s="95"/>
      <c r="F11" s="94"/>
      <c r="G11" s="94"/>
      <c r="H11" s="93"/>
      <c r="J11" s="92"/>
    </row>
    <row r="12" spans="1:10" ht="16.75" customHeight="1" x14ac:dyDescent="0.2">
      <c r="A12" s="94"/>
      <c r="B12" s="105" t="s">
        <v>125</v>
      </c>
      <c r="C12" s="104" t="s">
        <v>124</v>
      </c>
      <c r="D12" s="96"/>
      <c r="E12" s="95"/>
      <c r="F12" s="94"/>
      <c r="G12" s="94">
        <f>SUM(G8:G11)*1</f>
        <v>48397137.368000008</v>
      </c>
      <c r="H12" s="93" t="s">
        <v>123</v>
      </c>
      <c r="J12" s="92"/>
    </row>
    <row r="13" spans="1:10" ht="16.75" customHeight="1" x14ac:dyDescent="0.2">
      <c r="A13" s="99">
        <v>4</v>
      </c>
      <c r="B13" s="98" t="s">
        <v>122</v>
      </c>
      <c r="C13" s="97"/>
      <c r="D13" s="96"/>
      <c r="E13" s="95"/>
      <c r="F13" s="94"/>
      <c r="G13" s="94"/>
      <c r="H13" s="93"/>
      <c r="J13" s="92"/>
    </row>
    <row r="14" spans="1:10" ht="16.75" customHeight="1" x14ac:dyDescent="0.2">
      <c r="A14" s="99"/>
      <c r="B14" s="103" t="s">
        <v>121</v>
      </c>
      <c r="C14" s="97" t="s">
        <v>120</v>
      </c>
      <c r="D14" s="96" t="s">
        <v>102</v>
      </c>
      <c r="E14" s="95">
        <v>37446.58</v>
      </c>
      <c r="F14" s="101">
        <v>0.35</v>
      </c>
      <c r="G14" s="94">
        <f>E14*31600*F14</f>
        <v>414159174.79999995</v>
      </c>
      <c r="H14" s="93" t="s">
        <v>119</v>
      </c>
      <c r="J14" s="92"/>
    </row>
    <row r="15" spans="1:10" ht="16.75" customHeight="1" x14ac:dyDescent="0.2">
      <c r="A15" s="99"/>
      <c r="B15" s="103" t="s">
        <v>118</v>
      </c>
      <c r="C15" s="97" t="s">
        <v>117</v>
      </c>
      <c r="D15" s="96" t="s">
        <v>102</v>
      </c>
      <c r="E15" s="95">
        <v>0</v>
      </c>
      <c r="F15" s="94"/>
      <c r="G15" s="94">
        <v>0</v>
      </c>
      <c r="H15" s="93"/>
      <c r="J15" s="92"/>
    </row>
    <row r="16" spans="1:10" ht="16.75" customHeight="1" x14ac:dyDescent="0.2">
      <c r="A16" s="99"/>
      <c r="B16" s="103" t="s">
        <v>116</v>
      </c>
      <c r="C16" s="97" t="s">
        <v>115</v>
      </c>
      <c r="D16" s="96" t="s">
        <v>102</v>
      </c>
      <c r="E16" s="95">
        <v>26473.72</v>
      </c>
      <c r="F16" s="101">
        <v>0.1</v>
      </c>
      <c r="G16" s="94">
        <f>E16*31600*F16</f>
        <v>83656955.200000003</v>
      </c>
      <c r="H16" s="93" t="s">
        <v>114</v>
      </c>
      <c r="J16" s="92"/>
    </row>
    <row r="17" spans="1:10" ht="32" x14ac:dyDescent="0.2">
      <c r="A17" s="99">
        <v>5</v>
      </c>
      <c r="B17" s="98" t="s">
        <v>113</v>
      </c>
      <c r="C17" s="102" t="s">
        <v>112</v>
      </c>
      <c r="D17" s="96" t="s">
        <v>102</v>
      </c>
      <c r="E17" s="95">
        <f>(E6)+(E6*0.3)</f>
        <v>89044.15</v>
      </c>
      <c r="F17" s="101">
        <v>0.01</v>
      </c>
      <c r="G17" s="94">
        <f>E17*F17*26620</f>
        <v>23703552.729999997</v>
      </c>
      <c r="H17" s="100" t="s">
        <v>111</v>
      </c>
      <c r="J17" s="92"/>
    </row>
    <row r="18" spans="1:10" ht="16.75" customHeight="1" x14ac:dyDescent="0.2">
      <c r="A18" s="99">
        <v>6</v>
      </c>
      <c r="B18" s="98" t="s">
        <v>110</v>
      </c>
      <c r="C18" s="97" t="s">
        <v>109</v>
      </c>
      <c r="D18" s="96" t="s">
        <v>102</v>
      </c>
      <c r="E18" s="95">
        <f>E17</f>
        <v>89044.15</v>
      </c>
      <c r="F18" s="94">
        <v>15</v>
      </c>
      <c r="G18" s="94">
        <f>E18*F18</f>
        <v>1335662.25</v>
      </c>
      <c r="H18" s="93"/>
      <c r="J18" s="92"/>
    </row>
    <row r="19" spans="1:10" ht="16.75" customHeight="1" x14ac:dyDescent="0.2">
      <c r="A19" s="99">
        <v>7</v>
      </c>
      <c r="B19" s="98" t="s">
        <v>108</v>
      </c>
      <c r="C19" s="97" t="s">
        <v>107</v>
      </c>
      <c r="D19" s="96" t="s">
        <v>102</v>
      </c>
      <c r="E19" s="95">
        <f>E6</f>
        <v>68495.5</v>
      </c>
      <c r="F19" s="94">
        <v>20</v>
      </c>
      <c r="G19" s="94">
        <f>E19*F19</f>
        <v>1369910</v>
      </c>
      <c r="H19" s="93"/>
      <c r="J19" s="92"/>
    </row>
    <row r="20" spans="1:10" ht="16.75" customHeight="1" x14ac:dyDescent="0.2">
      <c r="A20" s="99">
        <v>8</v>
      </c>
      <c r="B20" s="98" t="s">
        <v>106</v>
      </c>
      <c r="C20" s="97" t="s">
        <v>105</v>
      </c>
      <c r="D20" s="96" t="s">
        <v>102</v>
      </c>
      <c r="E20" s="95">
        <f>E17</f>
        <v>89044.15</v>
      </c>
      <c r="F20" s="94">
        <v>210</v>
      </c>
      <c r="G20" s="94">
        <f>E20*F20</f>
        <v>18699271.5</v>
      </c>
      <c r="H20" s="93"/>
      <c r="J20" s="92"/>
    </row>
    <row r="21" spans="1:10" ht="16.75" customHeight="1" x14ac:dyDescent="0.2">
      <c r="A21" s="99">
        <v>9</v>
      </c>
      <c r="B21" s="98" t="s">
        <v>104</v>
      </c>
      <c r="C21" s="97" t="s">
        <v>103</v>
      </c>
      <c r="D21" s="96" t="s">
        <v>102</v>
      </c>
      <c r="E21" s="95">
        <f>E20</f>
        <v>89044.15</v>
      </c>
      <c r="F21" s="94">
        <v>150</v>
      </c>
      <c r="G21" s="94">
        <f>E21*F21</f>
        <v>13356622.5</v>
      </c>
      <c r="H21" s="93"/>
      <c r="J21" s="92"/>
    </row>
    <row r="22" spans="1:10" s="83" customFormat="1" ht="16.75" customHeight="1" x14ac:dyDescent="0.2">
      <c r="A22" s="91"/>
      <c r="B22" s="90" t="s">
        <v>101</v>
      </c>
      <c r="C22" s="89"/>
      <c r="D22" s="88"/>
      <c r="E22" s="87"/>
      <c r="F22" s="86"/>
      <c r="G22" s="86">
        <f>SUM(G5:G21)</f>
        <v>653424510.67617404</v>
      </c>
      <c r="H22" s="85"/>
      <c r="J22" s="84"/>
    </row>
  </sheetData>
  <pageMargins left="0.7" right="0.7" top="0.75" bottom="0.75" header="0.3" footer="0.3"/>
  <pageSetup paperSize="9" scale="76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ABCB-87A4-3E40-ADB0-BA78F8C1E2DB}">
  <dimension ref="A1:T40"/>
  <sheetViews>
    <sheetView zoomScale="110" workbookViewId="0">
      <selection activeCell="G20" sqref="G20"/>
    </sheetView>
  </sheetViews>
  <sheetFormatPr baseColWidth="10" defaultColWidth="8.83203125" defaultRowHeight="15" x14ac:dyDescent="0.2"/>
  <cols>
    <col min="1" max="1" width="26.5" style="2" bestFit="1" customWidth="1"/>
    <col min="2" max="2" width="11.5" style="2" bestFit="1" customWidth="1"/>
    <col min="3" max="3" width="8.83203125" style="2" customWidth="1"/>
    <col min="4" max="4" width="9" style="2" customWidth="1"/>
    <col min="5" max="5" width="12.1640625" style="2" customWidth="1"/>
    <col min="6" max="6" width="11.6640625" style="2" bestFit="1" customWidth="1"/>
    <col min="7" max="10" width="10.1640625" style="2" bestFit="1" customWidth="1"/>
    <col min="11" max="12" width="9.5" style="2" bestFit="1" customWidth="1"/>
    <col min="13" max="15" width="10.1640625" style="2" bestFit="1" customWidth="1"/>
    <col min="16" max="16" width="9.5" style="2" bestFit="1" customWidth="1"/>
    <col min="17" max="20" width="10.1640625" style="2" bestFit="1" customWidth="1"/>
    <col min="21" max="16384" width="8.83203125" style="2"/>
  </cols>
  <sheetData>
    <row r="1" spans="1:20" ht="16" thickBot="1" x14ac:dyDescent="0.25"/>
    <row r="2" spans="1:20" x14ac:dyDescent="0.2">
      <c r="A2" s="40" t="s">
        <v>87</v>
      </c>
      <c r="B2" s="41"/>
      <c r="C2" s="41"/>
      <c r="D2" s="42">
        <f>Input!C5</f>
        <v>46174</v>
      </c>
      <c r="E2" s="42">
        <f>EOMONTH(D2,3)</f>
        <v>46295</v>
      </c>
      <c r="F2" s="42">
        <f>EOMONTH(E2,3)</f>
        <v>46387</v>
      </c>
      <c r="G2" s="42">
        <f>EOMONTH(F2,3)</f>
        <v>46477</v>
      </c>
      <c r="H2" s="42">
        <f t="shared" ref="H2:T2" si="0">EOMONTH(G2,3)</f>
        <v>46568</v>
      </c>
      <c r="I2" s="42">
        <f t="shared" si="0"/>
        <v>46660</v>
      </c>
      <c r="J2" s="42">
        <f t="shared" si="0"/>
        <v>46752</v>
      </c>
      <c r="K2" s="42">
        <f t="shared" si="0"/>
        <v>46843</v>
      </c>
      <c r="L2" s="42">
        <f t="shared" si="0"/>
        <v>46934</v>
      </c>
      <c r="M2" s="42">
        <f t="shared" si="0"/>
        <v>47026</v>
      </c>
      <c r="N2" s="42">
        <f t="shared" si="0"/>
        <v>47118</v>
      </c>
      <c r="O2" s="42">
        <f t="shared" si="0"/>
        <v>47208</v>
      </c>
      <c r="P2" s="42">
        <f t="shared" si="0"/>
        <v>47299</v>
      </c>
      <c r="Q2" s="42">
        <f t="shared" si="0"/>
        <v>47391</v>
      </c>
      <c r="R2" s="42">
        <f t="shared" si="0"/>
        <v>47483</v>
      </c>
      <c r="S2" s="42">
        <f t="shared" si="0"/>
        <v>47573</v>
      </c>
      <c r="T2" s="42">
        <f t="shared" si="0"/>
        <v>47664</v>
      </c>
    </row>
    <row r="3" spans="1:20" x14ac:dyDescent="0.2">
      <c r="A3" s="43" t="s">
        <v>88</v>
      </c>
      <c r="B3" s="44"/>
      <c r="C3" s="44"/>
      <c r="D3" s="45">
        <f>IF(MONTH(D2)&gt;3,DATE(YEAR(D2)+1,3,31),D2)</f>
        <v>46477</v>
      </c>
      <c r="E3" s="45">
        <f>IF(MONTH(E2)&gt;3,DATE(YEAR(E2)+1,3,31),E2)</f>
        <v>46477</v>
      </c>
      <c r="F3" s="45">
        <f>IF(MONTH(F2)&gt;3,DATE(YEAR(F2)+1,3,31),F2)</f>
        <v>46477</v>
      </c>
      <c r="G3" s="45">
        <f t="shared" ref="G3:T3" si="1">IF(MONTH(G2)&gt;3,DATE(YEAR(G2)+1,3,31),G2)</f>
        <v>46477</v>
      </c>
      <c r="H3" s="45">
        <f t="shared" si="1"/>
        <v>46843</v>
      </c>
      <c r="I3" s="45">
        <f t="shared" si="1"/>
        <v>46843</v>
      </c>
      <c r="J3" s="45">
        <f t="shared" si="1"/>
        <v>46843</v>
      </c>
      <c r="K3" s="45">
        <f t="shared" si="1"/>
        <v>46843</v>
      </c>
      <c r="L3" s="45">
        <f t="shared" si="1"/>
        <v>47208</v>
      </c>
      <c r="M3" s="45">
        <f t="shared" si="1"/>
        <v>47208</v>
      </c>
      <c r="N3" s="45">
        <f t="shared" si="1"/>
        <v>47208</v>
      </c>
      <c r="O3" s="45">
        <f t="shared" si="1"/>
        <v>47208</v>
      </c>
      <c r="P3" s="45">
        <f t="shared" si="1"/>
        <v>47573</v>
      </c>
      <c r="Q3" s="45">
        <f t="shared" si="1"/>
        <v>47573</v>
      </c>
      <c r="R3" s="45">
        <f t="shared" si="1"/>
        <v>47573</v>
      </c>
      <c r="S3" s="45">
        <f t="shared" si="1"/>
        <v>47573</v>
      </c>
      <c r="T3" s="45">
        <f t="shared" si="1"/>
        <v>47938</v>
      </c>
    </row>
    <row r="4" spans="1:20" ht="16" thickBot="1" x14ac:dyDescent="0.25">
      <c r="A4" s="46" t="s">
        <v>89</v>
      </c>
      <c r="B4" s="47">
        <f>SUM(D4:T4)</f>
        <v>1165.8744150354871</v>
      </c>
      <c r="C4" s="47"/>
      <c r="D4" s="48">
        <f>D14+D26</f>
        <v>0</v>
      </c>
      <c r="E4" s="48">
        <f t="shared" ref="E4:T4" si="2">E14+E26</f>
        <v>209.90521428153556</v>
      </c>
      <c r="F4" s="48">
        <f t="shared" si="2"/>
        <v>108.10118535499082</v>
      </c>
      <c r="G4" s="48">
        <f t="shared" si="2"/>
        <v>116.94861272196809</v>
      </c>
      <c r="H4" s="48">
        <f t="shared" si="2"/>
        <v>88.064590780723691</v>
      </c>
      <c r="I4" s="48">
        <f t="shared" si="2"/>
        <v>88.064590780723691</v>
      </c>
      <c r="J4" s="48">
        <f t="shared" si="2"/>
        <v>89.533249042442137</v>
      </c>
      <c r="K4" s="48">
        <f t="shared" si="2"/>
        <v>89.533249042442137</v>
      </c>
      <c r="L4" s="48">
        <f t="shared" si="2"/>
        <v>89.638844193995425</v>
      </c>
      <c r="M4" s="48">
        <f t="shared" si="2"/>
        <v>62.687975521364649</v>
      </c>
      <c r="N4" s="48">
        <f t="shared" si="2"/>
        <v>33.156704529013879</v>
      </c>
      <c r="O4" s="48">
        <f t="shared" si="2"/>
        <v>32.020735354192773</v>
      </c>
      <c r="P4" s="48">
        <f t="shared" si="2"/>
        <v>30.776003173271771</v>
      </c>
      <c r="Q4" s="48">
        <f t="shared" si="2"/>
        <v>30.838239782317821</v>
      </c>
      <c r="R4" s="48">
        <f t="shared" si="2"/>
        <v>30.838239782317821</v>
      </c>
      <c r="S4" s="48">
        <f t="shared" si="2"/>
        <v>32.145208572284872</v>
      </c>
      <c r="T4" s="48">
        <f t="shared" si="2"/>
        <v>33.621772121902303</v>
      </c>
    </row>
    <row r="5" spans="1:20" ht="16" thickBot="1" x14ac:dyDescent="0.25">
      <c r="A5" s="46" t="s">
        <v>90</v>
      </c>
      <c r="B5" s="47">
        <f>SUM(D5:T5)</f>
        <v>1165.8744150354876</v>
      </c>
      <c r="C5" s="47"/>
      <c r="D5" s="48">
        <f>D17+D29</f>
        <v>0</v>
      </c>
      <c r="E5" s="48">
        <f>E17+E29</f>
        <v>20.990521428153556</v>
      </c>
      <c r="F5" s="48">
        <f t="shared" ref="F5:T5" si="3">F17+F29</f>
        <v>26.7104385173254</v>
      </c>
      <c r="G5" s="48">
        <f t="shared" si="3"/>
        <v>38.405299789522225</v>
      </c>
      <c r="H5" s="48">
        <f t="shared" si="3"/>
        <v>68.789043337618693</v>
      </c>
      <c r="I5" s="48">
        <f t="shared" si="3"/>
        <v>85.946318984364126</v>
      </c>
      <c r="J5" s="48">
        <f t="shared" si="3"/>
        <v>71.214209885077764</v>
      </c>
      <c r="K5" s="48">
        <f t="shared" si="3"/>
        <v>80.519518627832994</v>
      </c>
      <c r="L5" s="48">
        <f t="shared" si="3"/>
        <v>132.43583236321356</v>
      </c>
      <c r="M5" s="48">
        <f t="shared" si="3"/>
        <v>85.986658615087308</v>
      </c>
      <c r="N5" s="48">
        <f t="shared" si="3"/>
        <v>68.358484332727102</v>
      </c>
      <c r="O5" s="48">
        <f t="shared" si="3"/>
        <v>122.93106347209012</v>
      </c>
      <c r="P5" s="48">
        <f t="shared" si="3"/>
        <v>132.30046994598533</v>
      </c>
      <c r="Q5" s="48">
        <f t="shared" si="3"/>
        <v>81.217875532035151</v>
      </c>
      <c r="R5" s="48">
        <f t="shared" si="3"/>
        <v>84.301699510267042</v>
      </c>
      <c r="S5" s="48">
        <f t="shared" si="3"/>
        <v>32.145208572284858</v>
      </c>
      <c r="T5" s="48">
        <f t="shared" si="3"/>
        <v>33.621772121902225</v>
      </c>
    </row>
    <row r="6" spans="1:20" ht="16" thickBot="1" x14ac:dyDescent="0.25">
      <c r="A6" s="46" t="s">
        <v>91</v>
      </c>
      <c r="B6" s="49">
        <f>SUM(D6:T6)</f>
        <v>1</v>
      </c>
      <c r="C6" s="47"/>
      <c r="D6" s="49">
        <f>D19</f>
        <v>0</v>
      </c>
      <c r="E6" s="49">
        <f>E19</f>
        <v>0.03</v>
      </c>
      <c r="F6" s="49">
        <f t="shared" ref="F6:T6" si="4">F19</f>
        <v>0.05</v>
      </c>
      <c r="G6" s="49">
        <f t="shared" si="4"/>
        <v>0.05</v>
      </c>
      <c r="H6" s="49">
        <f t="shared" si="4"/>
        <v>0.05</v>
      </c>
      <c r="I6" s="49">
        <f t="shared" si="4"/>
        <v>0.05</v>
      </c>
      <c r="J6" s="49">
        <f t="shared" si="4"/>
        <v>0.05</v>
      </c>
      <c r="K6" s="49">
        <f t="shared" si="4"/>
        <v>0.05</v>
      </c>
      <c r="L6" s="49">
        <f t="shared" si="4"/>
        <v>0.05</v>
      </c>
      <c r="M6" s="49">
        <f t="shared" si="4"/>
        <v>0.05</v>
      </c>
      <c r="N6" s="49">
        <f t="shared" si="4"/>
        <v>0.12</v>
      </c>
      <c r="O6" s="49">
        <f t="shared" si="4"/>
        <v>0.12</v>
      </c>
      <c r="P6" s="49">
        <f t="shared" si="4"/>
        <v>0.12</v>
      </c>
      <c r="Q6" s="49">
        <f t="shared" si="4"/>
        <v>0.12</v>
      </c>
      <c r="R6" s="49">
        <f t="shared" si="4"/>
        <v>7.0000000000000007E-2</v>
      </c>
      <c r="S6" s="49">
        <f t="shared" si="4"/>
        <v>0.02</v>
      </c>
      <c r="T6" s="49">
        <f t="shared" si="4"/>
        <v>0</v>
      </c>
    </row>
    <row r="7" spans="1:20" x14ac:dyDescent="0.2">
      <c r="A7" s="239" t="s">
        <v>185</v>
      </c>
      <c r="B7" s="240"/>
      <c r="C7" s="240"/>
      <c r="D7" s="241">
        <f>(D31*('Detailed Costing'!$E$32*10^7))/10^7</f>
        <v>0</v>
      </c>
      <c r="E7" s="241">
        <f>(E31*('Detailed Costing'!$E$32*10^7))/10^7</f>
        <v>9.1369408228040196</v>
      </c>
      <c r="F7" s="241">
        <f>(F31*('Detailed Costing'!$E$32*10^7))/10^7</f>
        <v>15.228234704673367</v>
      </c>
      <c r="G7" s="241">
        <f>(G31*('Detailed Costing'!$E$32*10^7))/10^7</f>
        <v>15.228234704673367</v>
      </c>
      <c r="H7" s="241">
        <f>(H31*('Detailed Costing'!$E$32*10^7))/10^7</f>
        <v>15.228234704673367</v>
      </c>
      <c r="I7" s="241">
        <f>(I31*('Detailed Costing'!$E$32*10^7))/10^7</f>
        <v>15.228234704673367</v>
      </c>
      <c r="J7" s="241">
        <f>(J31*('Detailed Costing'!$E$32*10^7))/10^7</f>
        <v>15.228234704673367</v>
      </c>
      <c r="K7" s="241">
        <f>(K31*('Detailed Costing'!$E$32*10^7))/10^7</f>
        <v>15.228234704673367</v>
      </c>
      <c r="L7" s="241">
        <f>(L31*('Detailed Costing'!$E$32*10^7))/10^7</f>
        <v>15.228234704673367</v>
      </c>
      <c r="M7" s="241">
        <f>(M31*('Detailed Costing'!$E$32*10^7))/10^7</f>
        <v>15.228234704673367</v>
      </c>
      <c r="N7" s="241">
        <f>(N31*('Detailed Costing'!$E$32*10^7))/10^7</f>
        <v>36.547763291216079</v>
      </c>
      <c r="O7" s="241">
        <f>(O31*('Detailed Costing'!$E$32*10^7))/10^7</f>
        <v>36.547763291216079</v>
      </c>
      <c r="P7" s="241">
        <f>(P31*('Detailed Costing'!$E$32*10^7))/10^7</f>
        <v>36.547763291216079</v>
      </c>
      <c r="Q7" s="241">
        <f>(Q31*('Detailed Costing'!$E$32*10^7))/10^7</f>
        <v>36.547763291216079</v>
      </c>
      <c r="R7" s="241">
        <f>(R31*('Detailed Costing'!$E$32*10^7))/10^7</f>
        <v>21.319528586542717</v>
      </c>
      <c r="S7" s="241">
        <f>(S31*('Detailed Costing'!$E$32*10^7))/10^7</f>
        <v>6.0912938818693467</v>
      </c>
      <c r="T7" s="241">
        <f>(T31*('Detailed Costing'!$E$32*10^7))/10^7</f>
        <v>0</v>
      </c>
    </row>
    <row r="8" spans="1:20" ht="16" thickBot="1" x14ac:dyDescent="0.25">
      <c r="A8" s="50"/>
      <c r="B8" s="51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spans="1:20" ht="16" thickBot="1" x14ac:dyDescent="0.25">
      <c r="A9" s="53" t="s">
        <v>92</v>
      </c>
      <c r="B9" s="54">
        <f>'FSI &amp; Area Cal'!E48</f>
        <v>538218.49815778353</v>
      </c>
      <c r="C9" s="55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>
        <f>R10/Q10-1</f>
        <v>0</v>
      </c>
      <c r="S9" s="57"/>
      <c r="T9" s="57"/>
    </row>
    <row r="10" spans="1:20" x14ac:dyDescent="0.2">
      <c r="A10" s="58" t="s">
        <v>93</v>
      </c>
      <c r="B10" s="59">
        <f>Output!B20</f>
        <v>19500</v>
      </c>
      <c r="C10" s="59"/>
      <c r="D10" s="60">
        <v>0</v>
      </c>
      <c r="E10" s="60">
        <f>B10</f>
        <v>19500</v>
      </c>
      <c r="F10" s="60">
        <f>E10*1.03</f>
        <v>20085</v>
      </c>
      <c r="G10" s="60">
        <f>F10</f>
        <v>20085</v>
      </c>
      <c r="H10" s="60">
        <f>G10*1.03</f>
        <v>20687.55</v>
      </c>
      <c r="I10" s="60">
        <f>H10</f>
        <v>20687.55</v>
      </c>
      <c r="J10" s="60">
        <f>I10*1.03</f>
        <v>21308.176500000001</v>
      </c>
      <c r="K10" s="60">
        <f>J10</f>
        <v>21308.176500000001</v>
      </c>
      <c r="L10" s="60">
        <f>K10</f>
        <v>21308.176500000001</v>
      </c>
      <c r="M10" s="60">
        <f>L10*1.03</f>
        <v>21947.421795000002</v>
      </c>
      <c r="N10" s="60">
        <f t="shared" ref="N10:S10" si="5">M10</f>
        <v>21947.421795000002</v>
      </c>
      <c r="O10" s="60">
        <f t="shared" si="5"/>
        <v>21947.421795000002</v>
      </c>
      <c r="P10" s="60">
        <f t="shared" si="5"/>
        <v>21947.421795000002</v>
      </c>
      <c r="Q10" s="60">
        <f t="shared" si="5"/>
        <v>21947.421795000002</v>
      </c>
      <c r="R10" s="60">
        <f t="shared" si="5"/>
        <v>21947.421795000002</v>
      </c>
      <c r="S10" s="60">
        <f t="shared" si="5"/>
        <v>21947.421795000002</v>
      </c>
      <c r="T10" s="60">
        <f>S10*1.05</f>
        <v>23044.792884750004</v>
      </c>
    </row>
    <row r="11" spans="1:20" x14ac:dyDescent="0.2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x14ac:dyDescent="0.2">
      <c r="A12" s="235" t="s">
        <v>94</v>
      </c>
      <c r="B12" s="236">
        <f>B9</f>
        <v>538218.49815778353</v>
      </c>
      <c r="C12" s="237"/>
      <c r="D12" s="238">
        <v>0</v>
      </c>
      <c r="E12" s="238">
        <v>0.2</v>
      </c>
      <c r="F12" s="238">
        <v>0.1</v>
      </c>
      <c r="G12" s="238">
        <v>0.1</v>
      </c>
      <c r="H12" s="238">
        <v>7.4999999999999997E-2</v>
      </c>
      <c r="I12" s="238">
        <v>7.4999999999999997E-2</v>
      </c>
      <c r="J12" s="238">
        <v>7.4999999999999997E-2</v>
      </c>
      <c r="K12" s="238">
        <v>7.4999999999999997E-2</v>
      </c>
      <c r="L12" s="238">
        <v>7.4999999999999997E-2</v>
      </c>
      <c r="M12" s="238">
        <v>0.05</v>
      </c>
      <c r="N12" s="238">
        <v>2.5000000000000001E-2</v>
      </c>
      <c r="O12" s="238">
        <v>2.5000000000000001E-2</v>
      </c>
      <c r="P12" s="238">
        <v>2.5000000000000001E-2</v>
      </c>
      <c r="Q12" s="238">
        <v>2.5000000000000001E-2</v>
      </c>
      <c r="R12" s="238">
        <v>2.5000000000000001E-2</v>
      </c>
      <c r="S12" s="238">
        <v>2.5000000000000001E-2</v>
      </c>
      <c r="T12" s="238">
        <v>2.4999999999999911E-2</v>
      </c>
    </row>
    <row r="13" spans="1:20" x14ac:dyDescent="0.2">
      <c r="A13" s="66" t="s">
        <v>95</v>
      </c>
      <c r="B13" s="59">
        <f>SUM(D13:FH13)</f>
        <v>538218.49815778353</v>
      </c>
      <c r="C13" s="59"/>
      <c r="D13" s="59">
        <f>$B$12*D12</f>
        <v>0</v>
      </c>
      <c r="E13" s="59">
        <f t="shared" ref="E13:T13" si="6">$B$12*E12</f>
        <v>107643.69963155671</v>
      </c>
      <c r="F13" s="59">
        <f t="shared" si="6"/>
        <v>53821.849815778354</v>
      </c>
      <c r="G13" s="59">
        <f t="shared" si="6"/>
        <v>53821.849815778354</v>
      </c>
      <c r="H13" s="59">
        <f t="shared" si="6"/>
        <v>40366.38736183376</v>
      </c>
      <c r="I13" s="59">
        <f t="shared" si="6"/>
        <v>40366.38736183376</v>
      </c>
      <c r="J13" s="59">
        <f t="shared" si="6"/>
        <v>40366.38736183376</v>
      </c>
      <c r="K13" s="59">
        <f t="shared" si="6"/>
        <v>40366.38736183376</v>
      </c>
      <c r="L13" s="59">
        <f t="shared" si="6"/>
        <v>40366.38736183376</v>
      </c>
      <c r="M13" s="59">
        <f t="shared" si="6"/>
        <v>26910.924907889177</v>
      </c>
      <c r="N13" s="59">
        <f t="shared" si="6"/>
        <v>13455.462453944589</v>
      </c>
      <c r="O13" s="59">
        <f t="shared" si="6"/>
        <v>13455.462453944589</v>
      </c>
      <c r="P13" s="59">
        <f t="shared" si="6"/>
        <v>13455.462453944589</v>
      </c>
      <c r="Q13" s="59">
        <f t="shared" si="6"/>
        <v>13455.462453944589</v>
      </c>
      <c r="R13" s="59">
        <f t="shared" si="6"/>
        <v>13455.462453944589</v>
      </c>
      <c r="S13" s="59">
        <f t="shared" si="6"/>
        <v>13455.462453944589</v>
      </c>
      <c r="T13" s="59">
        <f t="shared" si="6"/>
        <v>13455.462453944541</v>
      </c>
    </row>
    <row r="14" spans="1:20" ht="16" thickBot="1" x14ac:dyDescent="0.25">
      <c r="A14" s="67" t="s">
        <v>96</v>
      </c>
      <c r="B14" s="47">
        <f>SUM(D14:FH14)</f>
        <v>1118.4221508177493</v>
      </c>
      <c r="C14" s="47"/>
      <c r="D14" s="47">
        <f t="shared" ref="D14:T14" si="7">D13*D10/10^7</f>
        <v>0</v>
      </c>
      <c r="E14" s="47">
        <f t="shared" si="7"/>
        <v>209.90521428153556</v>
      </c>
      <c r="F14" s="47">
        <f t="shared" si="7"/>
        <v>108.10118535499082</v>
      </c>
      <c r="G14" s="47">
        <f t="shared" si="7"/>
        <v>108.10118535499082</v>
      </c>
      <c r="H14" s="47">
        <f t="shared" si="7"/>
        <v>83.508165686730393</v>
      </c>
      <c r="I14" s="47">
        <f t="shared" si="7"/>
        <v>83.508165686730393</v>
      </c>
      <c r="J14" s="47">
        <f t="shared" si="7"/>
        <v>86.013410657332315</v>
      </c>
      <c r="K14" s="47">
        <f t="shared" si="7"/>
        <v>86.013410657332315</v>
      </c>
      <c r="L14" s="47">
        <f t="shared" si="7"/>
        <v>86.013410657332315</v>
      </c>
      <c r="M14" s="47">
        <f t="shared" si="7"/>
        <v>59.062541984701539</v>
      </c>
      <c r="N14" s="47">
        <f t="shared" si="7"/>
        <v>29.53127099235077</v>
      </c>
      <c r="O14" s="47">
        <f t="shared" si="7"/>
        <v>29.53127099235077</v>
      </c>
      <c r="P14" s="47">
        <f t="shared" si="7"/>
        <v>29.53127099235077</v>
      </c>
      <c r="Q14" s="47">
        <f t="shared" si="7"/>
        <v>29.53127099235077</v>
      </c>
      <c r="R14" s="47">
        <f t="shared" si="7"/>
        <v>29.53127099235077</v>
      </c>
      <c r="S14" s="47">
        <f t="shared" si="7"/>
        <v>29.53127099235077</v>
      </c>
      <c r="T14" s="47">
        <f t="shared" si="7"/>
        <v>31.007834541968201</v>
      </c>
    </row>
    <row r="15" spans="1:20" x14ac:dyDescent="0.2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20" x14ac:dyDescent="0.2">
      <c r="A16" s="58" t="s">
        <v>97</v>
      </c>
      <c r="B16" s="64"/>
      <c r="C16" s="64"/>
      <c r="D16" s="65">
        <v>0</v>
      </c>
      <c r="E16" s="65">
        <v>0.1</v>
      </c>
      <c r="F16" s="65">
        <v>0.15</v>
      </c>
      <c r="G16" s="65">
        <v>0.2</v>
      </c>
      <c r="H16" s="65">
        <v>0.3</v>
      </c>
      <c r="I16" s="65">
        <v>0.4</v>
      </c>
      <c r="J16" s="65">
        <v>0.45</v>
      </c>
      <c r="K16" s="65">
        <v>0.5</v>
      </c>
      <c r="L16" s="65">
        <v>0.6</v>
      </c>
      <c r="M16" s="65">
        <v>0.65</v>
      </c>
      <c r="N16" s="65">
        <v>0.7</v>
      </c>
      <c r="O16" s="65">
        <v>0.8</v>
      </c>
      <c r="P16" s="65">
        <v>0.9</v>
      </c>
      <c r="Q16" s="65">
        <v>0.95</v>
      </c>
      <c r="R16" s="65">
        <v>1</v>
      </c>
      <c r="S16" s="65">
        <v>1</v>
      </c>
      <c r="T16" s="70">
        <v>1</v>
      </c>
    </row>
    <row r="17" spans="1:20" ht="16" thickBot="1" x14ac:dyDescent="0.25">
      <c r="A17" s="46" t="s">
        <v>98</v>
      </c>
      <c r="B17" s="47">
        <f>SUM(D17:FH17)</f>
        <v>1118.4221508177493</v>
      </c>
      <c r="C17" s="47"/>
      <c r="D17" s="71">
        <f>SUM(D14:$D$15)*D16</f>
        <v>0</v>
      </c>
      <c r="E17" s="47">
        <f>SUM($D14:E$14)*E16-SUM($D17:D$17)</f>
        <v>20.990521428153556</v>
      </c>
      <c r="F17" s="47">
        <f>SUM($D14:F$14)*F16-SUM($D17:E$17)</f>
        <v>26.7104385173254</v>
      </c>
      <c r="G17" s="47">
        <f>SUM($D14:G$14)*G16-SUM($D17:F$17)</f>
        <v>37.5205570528245</v>
      </c>
      <c r="H17" s="47">
        <f>SUM($D14:H$14)*H16-SUM($D17:G$17)</f>
        <v>67.663208205170832</v>
      </c>
      <c r="I17" s="47">
        <f>SUM($D14:I$14)*I16-SUM($D17:H$17)</f>
        <v>84.364841342516939</v>
      </c>
      <c r="J17" s="47">
        <f>SUM($D14:J$14)*J16-SUM($D17:I$17)</f>
        <v>68.362230614048428</v>
      </c>
      <c r="K17" s="47">
        <f>SUM($D14:K$14)*K16-SUM($D17:J$17)</f>
        <v>76.963571679781694</v>
      </c>
      <c r="L17" s="47">
        <f>SUM($D14:L$14)*L16-SUM($D17:K$17)</f>
        <v>128.12312016236365</v>
      </c>
      <c r="M17" s="47">
        <f>SUM($D14:M$14)*M16-SUM($D17:L$17)</f>
        <v>80.948859706904784</v>
      </c>
      <c r="N17" s="47">
        <f>SUM($D14:N$14)*N16-SUM($D17:M$17)</f>
        <v>66.183224210729236</v>
      </c>
      <c r="O17" s="47">
        <f>SUM($D14:O$14)*O16-SUM($D17:N$17)</f>
        <v>117.60081292528344</v>
      </c>
      <c r="P17" s="47">
        <f>SUM($D14:P$14)*P16-SUM($D17:O$17)</f>
        <v>123.50706712375347</v>
      </c>
      <c r="Q17" s="47">
        <f>SUM($D14:Q$14)*Q16-SUM($D17:P$17)</f>
        <v>77.995732607669652</v>
      </c>
      <c r="R17" s="47">
        <f>SUM($D14:R$14)*R16-SUM($D17:Q$17)</f>
        <v>80.948859706904841</v>
      </c>
      <c r="S17" s="47">
        <f>SUM($D14:S$14)*S16-SUM($D17:R$17)</f>
        <v>29.531270992350755</v>
      </c>
      <c r="T17" s="47">
        <f>SUM($D14:T$14)*T16-SUM($D17:S$17)</f>
        <v>31.007834541968123</v>
      </c>
    </row>
    <row r="18" spans="1:20" x14ac:dyDescent="0.2">
      <c r="A18" s="72"/>
      <c r="B18" s="73"/>
      <c r="C18" s="73"/>
      <c r="D18" s="74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5"/>
    </row>
    <row r="19" spans="1:20" x14ac:dyDescent="0.2">
      <c r="A19" s="58" t="s">
        <v>99</v>
      </c>
      <c r="B19" s="76"/>
      <c r="C19" s="77"/>
      <c r="D19" s="70">
        <v>0</v>
      </c>
      <c r="E19" s="70">
        <v>0.03</v>
      </c>
      <c r="F19" s="70">
        <v>0.05</v>
      </c>
      <c r="G19" s="70">
        <v>0.05</v>
      </c>
      <c r="H19" s="70">
        <v>0.05</v>
      </c>
      <c r="I19" s="70">
        <v>0.05</v>
      </c>
      <c r="J19" s="70">
        <v>0.05</v>
      </c>
      <c r="K19" s="70">
        <v>0.05</v>
      </c>
      <c r="L19" s="70">
        <v>0.05</v>
      </c>
      <c r="M19" s="70">
        <v>0.05</v>
      </c>
      <c r="N19" s="70">
        <v>0.12</v>
      </c>
      <c r="O19" s="70">
        <v>0.12</v>
      </c>
      <c r="P19" s="70">
        <v>0.12</v>
      </c>
      <c r="Q19" s="70">
        <v>0.12</v>
      </c>
      <c r="R19" s="70">
        <v>7.0000000000000007E-2</v>
      </c>
      <c r="S19" s="70">
        <v>0.02</v>
      </c>
      <c r="T19" s="70">
        <v>0</v>
      </c>
    </row>
    <row r="20" spans="1:20" ht="16" thickBot="1" x14ac:dyDescent="0.25"/>
    <row r="21" spans="1:20" ht="16" thickBot="1" x14ac:dyDescent="0.25">
      <c r="A21" s="53" t="s">
        <v>100</v>
      </c>
      <c r="B21" s="54">
        <f>'FSI &amp; Area Cal'!E49</f>
        <v>14745.712278295441</v>
      </c>
      <c r="C21" s="55"/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>
        <f>R22/Q22-1</f>
        <v>0</v>
      </c>
      <c r="S21" s="57"/>
      <c r="T21" s="57"/>
    </row>
    <row r="22" spans="1:20" x14ac:dyDescent="0.2">
      <c r="A22" s="58" t="s">
        <v>93</v>
      </c>
      <c r="B22" s="59">
        <f>Output!B21</f>
        <v>30000</v>
      </c>
      <c r="C22" s="59"/>
      <c r="D22" s="60">
        <v>0</v>
      </c>
      <c r="E22" s="60">
        <v>0</v>
      </c>
      <c r="F22" s="60">
        <v>0</v>
      </c>
      <c r="G22" s="60">
        <f>B22</f>
        <v>30000</v>
      </c>
      <c r="H22" s="60">
        <f>G22*1.03</f>
        <v>30900</v>
      </c>
      <c r="I22" s="60">
        <f>H22</f>
        <v>30900</v>
      </c>
      <c r="J22" s="60">
        <f>I22*1.03</f>
        <v>31827</v>
      </c>
      <c r="K22" s="60">
        <f>J22</f>
        <v>31827</v>
      </c>
      <c r="L22" s="60">
        <f>K22*1.03</f>
        <v>32781.81</v>
      </c>
      <c r="M22" s="60">
        <f>L22</f>
        <v>32781.81</v>
      </c>
      <c r="N22" s="60">
        <f>M22</f>
        <v>32781.81</v>
      </c>
      <c r="O22" s="60">
        <f>N22*1.03</f>
        <v>33765.264299999995</v>
      </c>
      <c r="P22" s="60">
        <f>O22</f>
        <v>33765.264299999995</v>
      </c>
      <c r="Q22" s="60">
        <f>P22*1.05</f>
        <v>35453.527514999994</v>
      </c>
      <c r="R22" s="60">
        <f>Q22</f>
        <v>35453.527514999994</v>
      </c>
      <c r="S22" s="60">
        <f t="shared" ref="S22:T22" si="8">R22</f>
        <v>35453.527514999994</v>
      </c>
      <c r="T22" s="60">
        <f t="shared" si="8"/>
        <v>35453.527514999994</v>
      </c>
    </row>
    <row r="23" spans="1:20" x14ac:dyDescent="0.2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x14ac:dyDescent="0.2">
      <c r="A24" s="58" t="s">
        <v>94</v>
      </c>
      <c r="B24" s="63">
        <f>B21</f>
        <v>14745.712278295441</v>
      </c>
      <c r="C24" s="64"/>
      <c r="D24" s="65">
        <v>0</v>
      </c>
      <c r="E24" s="65">
        <v>0</v>
      </c>
      <c r="F24" s="65">
        <v>0</v>
      </c>
      <c r="G24" s="65">
        <v>0.2</v>
      </c>
      <c r="H24" s="65">
        <v>0.1</v>
      </c>
      <c r="I24" s="65">
        <v>0.1</v>
      </c>
      <c r="J24" s="65">
        <v>7.4999999999999997E-2</v>
      </c>
      <c r="K24" s="65">
        <v>7.4999999999999997E-2</v>
      </c>
      <c r="L24" s="65">
        <v>7.4999999999999997E-2</v>
      </c>
      <c r="M24" s="65">
        <v>7.4999999999999997E-2</v>
      </c>
      <c r="N24" s="65">
        <v>7.4999999999999997E-2</v>
      </c>
      <c r="O24" s="65">
        <v>0.05</v>
      </c>
      <c r="P24" s="65">
        <v>2.5000000000000001E-2</v>
      </c>
      <c r="Q24" s="65">
        <v>2.5000000000000001E-2</v>
      </c>
      <c r="R24" s="65">
        <v>2.5000000000000001E-2</v>
      </c>
      <c r="S24" s="65">
        <v>0.05</v>
      </c>
      <c r="T24" s="65">
        <v>0.05</v>
      </c>
    </row>
    <row r="25" spans="1:20" x14ac:dyDescent="0.2">
      <c r="A25" s="66" t="s">
        <v>95</v>
      </c>
      <c r="B25" s="59">
        <f>SUM(D25:FH25)</f>
        <v>14745.712278295443</v>
      </c>
      <c r="C25" s="59"/>
      <c r="D25" s="59">
        <f>$B$24*D24</f>
        <v>0</v>
      </c>
      <c r="E25" s="59">
        <f t="shared" ref="E25:T25" si="9">$B$24*E24</f>
        <v>0</v>
      </c>
      <c r="F25" s="59">
        <f t="shared" si="9"/>
        <v>0</v>
      </c>
      <c r="G25" s="59">
        <f t="shared" si="9"/>
        <v>2949.1424556590882</v>
      </c>
      <c r="H25" s="59">
        <f t="shared" si="9"/>
        <v>1474.5712278295441</v>
      </c>
      <c r="I25" s="59">
        <f t="shared" si="9"/>
        <v>1474.5712278295441</v>
      </c>
      <c r="J25" s="59">
        <f t="shared" si="9"/>
        <v>1105.9284208721581</v>
      </c>
      <c r="K25" s="59">
        <f t="shared" si="9"/>
        <v>1105.9284208721581</v>
      </c>
      <c r="L25" s="59">
        <f t="shared" si="9"/>
        <v>1105.9284208721581</v>
      </c>
      <c r="M25" s="59">
        <f t="shared" si="9"/>
        <v>1105.9284208721581</v>
      </c>
      <c r="N25" s="59">
        <f t="shared" si="9"/>
        <v>1105.9284208721581</v>
      </c>
      <c r="O25" s="59">
        <f t="shared" si="9"/>
        <v>737.28561391477206</v>
      </c>
      <c r="P25" s="59">
        <f t="shared" si="9"/>
        <v>368.64280695738603</v>
      </c>
      <c r="Q25" s="59">
        <f t="shared" si="9"/>
        <v>368.64280695738603</v>
      </c>
      <c r="R25" s="59">
        <f t="shared" si="9"/>
        <v>368.64280695738603</v>
      </c>
      <c r="S25" s="59">
        <f t="shared" si="9"/>
        <v>737.28561391477206</v>
      </c>
      <c r="T25" s="59">
        <f t="shared" si="9"/>
        <v>737.28561391477206</v>
      </c>
    </row>
    <row r="26" spans="1:20" ht="16" thickBot="1" x14ac:dyDescent="0.25">
      <c r="A26" s="67" t="s">
        <v>96</v>
      </c>
      <c r="B26" s="47">
        <f>SUM(D26:FH26)</f>
        <v>47.452264217738126</v>
      </c>
      <c r="C26" s="47"/>
      <c r="D26" s="47">
        <f t="shared" ref="D26:T26" si="10">D25*D22/10^7</f>
        <v>0</v>
      </c>
      <c r="E26" s="47">
        <f t="shared" si="10"/>
        <v>0</v>
      </c>
      <c r="F26" s="47">
        <f t="shared" si="10"/>
        <v>0</v>
      </c>
      <c r="G26" s="47">
        <f t="shared" si="10"/>
        <v>8.8474273669772643</v>
      </c>
      <c r="H26" s="47">
        <f t="shared" si="10"/>
        <v>4.5564250939932913</v>
      </c>
      <c r="I26" s="47">
        <f t="shared" si="10"/>
        <v>4.5564250939932913</v>
      </c>
      <c r="J26" s="47">
        <f t="shared" si="10"/>
        <v>3.5198383851098174</v>
      </c>
      <c r="K26" s="47">
        <f t="shared" si="10"/>
        <v>3.5198383851098174</v>
      </c>
      <c r="L26" s="47">
        <f t="shared" si="10"/>
        <v>3.6254335366631119</v>
      </c>
      <c r="M26" s="47">
        <f t="shared" si="10"/>
        <v>3.6254335366631119</v>
      </c>
      <c r="N26" s="47">
        <f t="shared" si="10"/>
        <v>3.6254335366631119</v>
      </c>
      <c r="O26" s="47">
        <f t="shared" si="10"/>
        <v>2.4894643618420029</v>
      </c>
      <c r="P26" s="47">
        <f t="shared" si="10"/>
        <v>1.2447321809210015</v>
      </c>
      <c r="Q26" s="47">
        <f t="shared" si="10"/>
        <v>1.3069687899670517</v>
      </c>
      <c r="R26" s="47">
        <f t="shared" si="10"/>
        <v>1.3069687899670517</v>
      </c>
      <c r="S26" s="47">
        <f t="shared" si="10"/>
        <v>2.6139375799341034</v>
      </c>
      <c r="T26" s="47">
        <f t="shared" si="10"/>
        <v>2.6139375799341034</v>
      </c>
    </row>
    <row r="27" spans="1:20" x14ac:dyDescent="0.2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  <row r="28" spans="1:20" x14ac:dyDescent="0.2">
      <c r="A28" s="58" t="s">
        <v>97</v>
      </c>
      <c r="B28" s="64"/>
      <c r="C28" s="64"/>
      <c r="D28" s="65">
        <v>0</v>
      </c>
      <c r="E28" s="65">
        <v>0</v>
      </c>
      <c r="F28" s="65">
        <v>0</v>
      </c>
      <c r="G28" s="65">
        <v>0.1</v>
      </c>
      <c r="H28" s="65">
        <v>0.15</v>
      </c>
      <c r="I28" s="65">
        <v>0.2</v>
      </c>
      <c r="J28" s="65">
        <v>0.3</v>
      </c>
      <c r="K28" s="65">
        <v>0.4</v>
      </c>
      <c r="L28" s="65">
        <v>0.5</v>
      </c>
      <c r="M28" s="65">
        <v>0.6</v>
      </c>
      <c r="N28" s="65">
        <v>0.6</v>
      </c>
      <c r="O28" s="65">
        <v>0.7</v>
      </c>
      <c r="P28" s="65">
        <v>0.9</v>
      </c>
      <c r="Q28" s="65">
        <v>0.95</v>
      </c>
      <c r="R28" s="65">
        <v>1</v>
      </c>
      <c r="S28" s="65">
        <v>1</v>
      </c>
      <c r="T28" s="70">
        <v>1</v>
      </c>
    </row>
    <row r="29" spans="1:20" ht="16" thickBot="1" x14ac:dyDescent="0.25">
      <c r="A29" s="46" t="s">
        <v>98</v>
      </c>
      <c r="B29" s="47">
        <f>SUM(D29:FH29)</f>
        <v>47.452264217738126</v>
      </c>
      <c r="C29" s="47"/>
      <c r="D29" s="71">
        <f>SUM(D$26:$D26)*D28</f>
        <v>0</v>
      </c>
      <c r="E29" s="47">
        <f>SUM($D$26:E26)*E28-SUM($D$29:D29)</f>
        <v>0</v>
      </c>
      <c r="F29" s="47">
        <f>SUM($D$26:F26)*F28-SUM($D$29:E29)</f>
        <v>0</v>
      </c>
      <c r="G29" s="47">
        <f>SUM($D$26:G26)*G28-SUM($D$29:F29)</f>
        <v>0.88474273669772652</v>
      </c>
      <c r="H29" s="47">
        <f>SUM($D$26:H26)*H28-SUM($D$29:G29)</f>
        <v>1.1258351324478566</v>
      </c>
      <c r="I29" s="47">
        <f>SUM($D$26:I26)*I28-SUM($D$29:H29)</f>
        <v>1.5814776418471861</v>
      </c>
      <c r="J29" s="47">
        <f>SUM($D$26:J26)*J28-SUM($D$29:I29)</f>
        <v>2.8519792710293297</v>
      </c>
      <c r="K29" s="47">
        <f>SUM($D$26:K26)*K28-SUM($D$29:J29)</f>
        <v>3.5559469480512949</v>
      </c>
      <c r="L29" s="47">
        <f>SUM($D$26:L26)*L28-SUM($D$29:K29)</f>
        <v>4.3127122008499033</v>
      </c>
      <c r="M29" s="47">
        <f>SUM($D$26:M26)*M28-SUM($D$29:L29)</f>
        <v>5.0377989081825252</v>
      </c>
      <c r="N29" s="47">
        <f>SUM($D$26:N26)*N28-SUM($D$29:M29)</f>
        <v>2.1752601219978658</v>
      </c>
      <c r="O29" s="47">
        <f>SUM($D$26:O26)*O28-SUM($D$29:N29)</f>
        <v>5.3302505468066848</v>
      </c>
      <c r="P29" s="47">
        <f>SUM($D$26:P26)*P28-SUM($D$29:O29)</f>
        <v>8.7934028222318616</v>
      </c>
      <c r="Q29" s="47">
        <f>SUM($D$26:Q26)*Q28-SUM($D$29:P29)</f>
        <v>3.2221429243654924</v>
      </c>
      <c r="R29" s="47">
        <f>SUM($D$26:R26)*R28-SUM($D$29:Q29)</f>
        <v>3.352839803362194</v>
      </c>
      <c r="S29" s="47">
        <f>SUM($D$26:S26)*S28-SUM($D$29:R29)</f>
        <v>2.6139375799341025</v>
      </c>
      <c r="T29" s="47">
        <f>SUM($D$26:T26)*T28-SUM($D$29:S29)</f>
        <v>2.6139375799341025</v>
      </c>
    </row>
    <row r="30" spans="1:20" x14ac:dyDescent="0.2">
      <c r="A30" s="72"/>
      <c r="B30" s="73"/>
      <c r="C30" s="73"/>
      <c r="D30" s="74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5"/>
    </row>
    <row r="31" spans="1:20" x14ac:dyDescent="0.2">
      <c r="A31" s="58" t="s">
        <v>99</v>
      </c>
      <c r="B31" s="76"/>
      <c r="C31" s="77"/>
      <c r="D31" s="70">
        <v>0</v>
      </c>
      <c r="E31" s="70">
        <v>0.03</v>
      </c>
      <c r="F31" s="70">
        <v>0.05</v>
      </c>
      <c r="G31" s="70">
        <v>0.05</v>
      </c>
      <c r="H31" s="70">
        <v>0.05</v>
      </c>
      <c r="I31" s="70">
        <v>0.05</v>
      </c>
      <c r="J31" s="70">
        <v>0.05</v>
      </c>
      <c r="K31" s="70">
        <v>0.05</v>
      </c>
      <c r="L31" s="70">
        <v>0.05</v>
      </c>
      <c r="M31" s="70">
        <v>0.05</v>
      </c>
      <c r="N31" s="70">
        <v>0.12</v>
      </c>
      <c r="O31" s="70">
        <v>0.12</v>
      </c>
      <c r="P31" s="70">
        <v>0.12</v>
      </c>
      <c r="Q31" s="70">
        <v>0.12</v>
      </c>
      <c r="R31" s="70">
        <v>7.0000000000000007E-2</v>
      </c>
      <c r="S31" s="70">
        <v>0.02</v>
      </c>
      <c r="T31" s="70">
        <v>0</v>
      </c>
    </row>
    <row r="35" spans="1:4" x14ac:dyDescent="0.2">
      <c r="A35" s="325" t="s">
        <v>256</v>
      </c>
      <c r="B35" s="325"/>
      <c r="C35" s="325"/>
    </row>
    <row r="36" spans="1:4" x14ac:dyDescent="0.2">
      <c r="A36" s="6" t="s">
        <v>6</v>
      </c>
      <c r="B36" s="6" t="s">
        <v>142</v>
      </c>
      <c r="C36" s="6"/>
      <c r="D36" s="6" t="s">
        <v>151</v>
      </c>
    </row>
    <row r="37" spans="1:4" x14ac:dyDescent="0.2">
      <c r="A37" s="6" t="s">
        <v>186</v>
      </c>
      <c r="B37" s="6">
        <f>Output!C24</f>
        <v>0</v>
      </c>
      <c r="C37" s="6"/>
      <c r="D37" s="6"/>
    </row>
    <row r="38" spans="1:4" x14ac:dyDescent="0.2">
      <c r="A38" s="6" t="s">
        <v>187</v>
      </c>
      <c r="B38" s="6"/>
      <c r="C38" s="168">
        <f>Input!C9</f>
        <v>700000</v>
      </c>
      <c r="D38" s="8">
        <f>C38*B38/10^7</f>
        <v>0</v>
      </c>
    </row>
    <row r="39" spans="1:4" x14ac:dyDescent="0.2">
      <c r="A39" s="6" t="s">
        <v>188</v>
      </c>
      <c r="B39" s="6"/>
      <c r="C39" s="168">
        <f>Input!C10</f>
        <v>200000</v>
      </c>
      <c r="D39" s="8">
        <f>C39*B39/10^7</f>
        <v>0</v>
      </c>
    </row>
    <row r="40" spans="1:4" x14ac:dyDescent="0.2">
      <c r="A40" s="6" t="s">
        <v>189</v>
      </c>
      <c r="B40" s="6"/>
      <c r="C40" s="6"/>
      <c r="D40" s="134">
        <f>SUM(D38:D39)</f>
        <v>0</v>
      </c>
    </row>
  </sheetData>
  <mergeCells count="1">
    <mergeCell ref="A35:C35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F8B7-94E4-B94B-940F-AE2226760D92}">
  <dimension ref="A1:D21"/>
  <sheetViews>
    <sheetView zoomScale="108" workbookViewId="0">
      <selection activeCell="E13" sqref="E13"/>
    </sheetView>
  </sheetViews>
  <sheetFormatPr baseColWidth="10" defaultRowHeight="15" x14ac:dyDescent="0.2"/>
  <cols>
    <col min="1" max="16384" width="10.83203125" style="2"/>
  </cols>
  <sheetData>
    <row r="1" spans="1:4" x14ac:dyDescent="0.2">
      <c r="A1" s="332" t="s">
        <v>267</v>
      </c>
      <c r="B1" s="332"/>
      <c r="C1" s="332"/>
      <c r="D1" s="332"/>
    </row>
    <row r="2" spans="1:4" x14ac:dyDescent="0.2">
      <c r="A2" s="326" t="s">
        <v>268</v>
      </c>
      <c r="B2" s="247" t="s">
        <v>269</v>
      </c>
      <c r="C2" s="248">
        <v>0.2</v>
      </c>
      <c r="D2" s="329">
        <v>0.14000000000000001</v>
      </c>
    </row>
    <row r="3" spans="1:4" x14ac:dyDescent="0.2">
      <c r="A3" s="327"/>
      <c r="B3" s="247" t="s">
        <v>270</v>
      </c>
      <c r="C3" s="248">
        <v>0.1</v>
      </c>
      <c r="D3" s="330"/>
    </row>
    <row r="4" spans="1:4" x14ac:dyDescent="0.2">
      <c r="A4" s="327"/>
      <c r="B4" s="247" t="s">
        <v>271</v>
      </c>
      <c r="C4" s="248">
        <v>0.1</v>
      </c>
      <c r="D4" s="330"/>
    </row>
    <row r="5" spans="1:4" x14ac:dyDescent="0.2">
      <c r="A5" s="328"/>
      <c r="B5" s="247" t="s">
        <v>272</v>
      </c>
      <c r="C5" s="249">
        <v>7.4999999999999997E-2</v>
      </c>
      <c r="D5" s="331"/>
    </row>
    <row r="6" spans="1:4" x14ac:dyDescent="0.2">
      <c r="A6" s="326" t="s">
        <v>273</v>
      </c>
      <c r="B6" s="247" t="s">
        <v>269</v>
      </c>
      <c r="C6" s="249">
        <v>7.4999999999999997E-2</v>
      </c>
      <c r="D6" s="329">
        <v>0.23</v>
      </c>
    </row>
    <row r="7" spans="1:4" x14ac:dyDescent="0.2">
      <c r="A7" s="327"/>
      <c r="B7" s="247" t="s">
        <v>270</v>
      </c>
      <c r="C7" s="249">
        <v>7.4999999999999997E-2</v>
      </c>
      <c r="D7" s="330"/>
    </row>
    <row r="8" spans="1:4" x14ac:dyDescent="0.2">
      <c r="A8" s="327"/>
      <c r="B8" s="247" t="s">
        <v>271</v>
      </c>
      <c r="C8" s="249">
        <v>7.4999999999999997E-2</v>
      </c>
      <c r="D8" s="330"/>
    </row>
    <row r="9" spans="1:4" x14ac:dyDescent="0.2">
      <c r="A9" s="328"/>
      <c r="B9" s="247" t="s">
        <v>272</v>
      </c>
      <c r="C9" s="249">
        <v>7.4999999999999997E-2</v>
      </c>
      <c r="D9" s="331"/>
    </row>
    <row r="10" spans="1:4" x14ac:dyDescent="0.2">
      <c r="A10" s="326" t="s">
        <v>274</v>
      </c>
      <c r="B10" s="247" t="s">
        <v>269</v>
      </c>
      <c r="C10" s="248">
        <v>0.05</v>
      </c>
      <c r="D10" s="329">
        <v>0.31</v>
      </c>
    </row>
    <row r="11" spans="1:4" x14ac:dyDescent="0.2">
      <c r="A11" s="327"/>
      <c r="B11" s="247" t="s">
        <v>270</v>
      </c>
      <c r="C11" s="249">
        <v>2.5000000000000001E-2</v>
      </c>
      <c r="D11" s="330"/>
    </row>
    <row r="12" spans="1:4" x14ac:dyDescent="0.2">
      <c r="A12" s="327"/>
      <c r="B12" s="247" t="s">
        <v>271</v>
      </c>
      <c r="C12" s="249">
        <v>2.5000000000000001E-2</v>
      </c>
      <c r="D12" s="330"/>
    </row>
    <row r="13" spans="1:4" x14ac:dyDescent="0.2">
      <c r="A13" s="328"/>
      <c r="B13" s="247" t="s">
        <v>272</v>
      </c>
      <c r="C13" s="249">
        <v>2.5000000000000001E-2</v>
      </c>
      <c r="D13" s="331"/>
    </row>
    <row r="14" spans="1:4" x14ac:dyDescent="0.2">
      <c r="A14" s="326" t="s">
        <v>275</v>
      </c>
      <c r="B14" s="247" t="s">
        <v>269</v>
      </c>
      <c r="C14" s="249">
        <v>2.5000000000000001E-2</v>
      </c>
      <c r="D14" s="329">
        <v>0.32</v>
      </c>
    </row>
    <row r="15" spans="1:4" x14ac:dyDescent="0.2">
      <c r="A15" s="327"/>
      <c r="B15" s="247" t="s">
        <v>270</v>
      </c>
      <c r="C15" s="249">
        <v>2.5000000000000001E-2</v>
      </c>
      <c r="D15" s="330"/>
    </row>
    <row r="16" spans="1:4" x14ac:dyDescent="0.2">
      <c r="A16" s="327"/>
      <c r="B16" s="247"/>
      <c r="C16" s="249"/>
      <c r="D16" s="330"/>
    </row>
    <row r="17" spans="1:4" x14ac:dyDescent="0.2">
      <c r="A17" s="327"/>
      <c r="B17" s="247"/>
      <c r="C17" s="249"/>
      <c r="D17" s="330"/>
    </row>
    <row r="18" spans="1:4" x14ac:dyDescent="0.2">
      <c r="A18" s="327"/>
      <c r="B18" s="247" t="s">
        <v>271</v>
      </c>
      <c r="C18" s="249">
        <v>2.5000000000000001E-2</v>
      </c>
      <c r="D18" s="330"/>
    </row>
    <row r="19" spans="1:4" x14ac:dyDescent="0.2">
      <c r="A19" s="328"/>
      <c r="B19" s="247" t="s">
        <v>272</v>
      </c>
      <c r="C19" s="249">
        <v>2.5000000000000001E-2</v>
      </c>
      <c r="D19" s="331"/>
    </row>
    <row r="20" spans="1:4" x14ac:dyDescent="0.2">
      <c r="A20" s="250"/>
      <c r="B20" s="251" t="s">
        <v>276</v>
      </c>
      <c r="C20" s="248">
        <v>1</v>
      </c>
      <c r="D20" s="252">
        <v>1</v>
      </c>
    </row>
    <row r="21" spans="1:4" x14ac:dyDescent="0.2">
      <c r="D21" s="253"/>
    </row>
  </sheetData>
  <mergeCells count="9">
    <mergeCell ref="A14:A19"/>
    <mergeCell ref="D14:D19"/>
    <mergeCell ref="A1:D1"/>
    <mergeCell ref="A2:A5"/>
    <mergeCell ref="D2:D5"/>
    <mergeCell ref="A6:A9"/>
    <mergeCell ref="D6:D9"/>
    <mergeCell ref="A10:A13"/>
    <mergeCell ref="D10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43BE-1BF0-7545-973E-9545BDCC829E}">
  <dimension ref="A1:I30"/>
  <sheetViews>
    <sheetView zoomScale="116" workbookViewId="0">
      <selection activeCell="B26" sqref="B26"/>
    </sheetView>
  </sheetViews>
  <sheetFormatPr baseColWidth="10" defaultRowHeight="16" x14ac:dyDescent="0.2"/>
  <cols>
    <col min="1" max="1" width="16.6640625" bestFit="1" customWidth="1"/>
  </cols>
  <sheetData>
    <row r="1" spans="1:9" x14ac:dyDescent="0.2">
      <c r="A1" t="s">
        <v>263</v>
      </c>
      <c r="C1" s="123">
        <v>0.15</v>
      </c>
      <c r="D1" s="120"/>
    </row>
    <row r="2" spans="1:9" x14ac:dyDescent="0.2">
      <c r="D2" s="120"/>
    </row>
    <row r="3" spans="1:9" x14ac:dyDescent="0.2">
      <c r="A3" s="333" t="s">
        <v>282</v>
      </c>
      <c r="B3" s="333"/>
      <c r="C3" s="333"/>
      <c r="D3" s="333"/>
      <c r="E3" s="333"/>
      <c r="F3" s="333"/>
      <c r="G3" s="333"/>
      <c r="H3" s="333"/>
    </row>
    <row r="4" spans="1:9" x14ac:dyDescent="0.2">
      <c r="E4" s="120" t="s">
        <v>166</v>
      </c>
      <c r="F4" s="120" t="s">
        <v>264</v>
      </c>
      <c r="G4" s="120" t="s">
        <v>265</v>
      </c>
      <c r="H4" s="120" t="s">
        <v>266</v>
      </c>
    </row>
    <row r="5" spans="1:9" x14ac:dyDescent="0.2">
      <c r="A5" t="s">
        <v>267</v>
      </c>
      <c r="E5" s="254">
        <f>'Sales Phasing'!D2</f>
        <v>0.14000000000000001</v>
      </c>
      <c r="F5" s="254">
        <f>'Sales Phasing'!D6</f>
        <v>0.23</v>
      </c>
      <c r="G5" s="254">
        <f>'Sales Phasing'!D10</f>
        <v>0.31</v>
      </c>
      <c r="H5" s="254">
        <f>'Sales Phasing'!D14</f>
        <v>0.32</v>
      </c>
    </row>
    <row r="6" spans="1:9" x14ac:dyDescent="0.2">
      <c r="A6" t="s">
        <v>280</v>
      </c>
      <c r="E6" s="254">
        <f>SUM('Sales and Collection'!E19:H19)</f>
        <v>0.18</v>
      </c>
      <c r="F6" s="254">
        <f>SUM('Sales and Collection'!I19:L19)</f>
        <v>0.2</v>
      </c>
      <c r="G6" s="254">
        <f>SUM('Sales and Collection'!M19:P19)</f>
        <v>0.41</v>
      </c>
      <c r="H6" s="254">
        <f>SUM('Sales and Collection'!Q19:T19)</f>
        <v>0.21</v>
      </c>
    </row>
    <row r="7" spans="1:9" x14ac:dyDescent="0.2">
      <c r="A7" t="s">
        <v>277</v>
      </c>
      <c r="C7" s="170">
        <f>'ANA Summary'!F24</f>
        <v>1165.8744150354873</v>
      </c>
      <c r="E7" s="246">
        <f>$C$7*E5</f>
        <v>163.22241810496826</v>
      </c>
      <c r="F7" s="246">
        <f t="shared" ref="F7:H7" si="0">$C$7*F5</f>
        <v>268.15111545816211</v>
      </c>
      <c r="G7" s="246">
        <f t="shared" si="0"/>
        <v>361.42106866100107</v>
      </c>
      <c r="H7" s="246">
        <f t="shared" si="0"/>
        <v>373.07981281135596</v>
      </c>
    </row>
    <row r="8" spans="1:9" x14ac:dyDescent="0.2">
      <c r="A8" t="s">
        <v>294</v>
      </c>
      <c r="B8" s="121">
        <f>'Cash Flow'!C1</f>
        <v>0.15</v>
      </c>
      <c r="C8" s="261">
        <f>NPV(B8,E7:H7)</f>
        <v>795.64311854249831</v>
      </c>
    </row>
    <row r="10" spans="1:9" x14ac:dyDescent="0.2">
      <c r="A10" s="120"/>
      <c r="B10" s="121"/>
      <c r="C10" s="245"/>
    </row>
    <row r="11" spans="1:9" x14ac:dyDescent="0.2">
      <c r="A11" s="333" t="s">
        <v>279</v>
      </c>
      <c r="B11" s="333"/>
      <c r="C11" s="333"/>
      <c r="D11" s="333"/>
      <c r="E11" s="333"/>
      <c r="F11" s="333"/>
      <c r="G11" s="333"/>
      <c r="H11" s="333"/>
      <c r="I11" s="128" t="s">
        <v>101</v>
      </c>
    </row>
    <row r="12" spans="1:9" x14ac:dyDescent="0.2">
      <c r="E12" s="120" t="s">
        <v>166</v>
      </c>
      <c r="F12" s="120" t="s">
        <v>264</v>
      </c>
      <c r="G12" s="120" t="s">
        <v>265</v>
      </c>
      <c r="H12" s="120" t="s">
        <v>266</v>
      </c>
      <c r="I12" s="137"/>
    </row>
    <row r="13" spans="1:9" x14ac:dyDescent="0.2">
      <c r="A13" t="s">
        <v>278</v>
      </c>
      <c r="B13" s="121"/>
      <c r="C13" s="170">
        <f>'ANA Summary'!F42</f>
        <v>401.54144770361449</v>
      </c>
      <c r="E13" s="170">
        <f>$C$13*E5</f>
        <v>56.215802678506037</v>
      </c>
      <c r="F13" s="170">
        <f>$C$13*F5</f>
        <v>92.354532971831333</v>
      </c>
      <c r="G13" s="170">
        <f>$C$13*G5</f>
        <v>124.4778487881205</v>
      </c>
      <c r="H13" s="170">
        <f>$C$13*H5</f>
        <v>128.49326326515663</v>
      </c>
      <c r="I13" s="256">
        <f>SUM(E13:H13)</f>
        <v>401.54144770361449</v>
      </c>
    </row>
    <row r="14" spans="1:9" x14ac:dyDescent="0.2">
      <c r="A14" t="s">
        <v>281</v>
      </c>
      <c r="C14" s="170">
        <f>Input!B20</f>
        <v>148.34245106761739</v>
      </c>
      <c r="E14" s="170">
        <f>-Input!B20</f>
        <v>-148.34245106761739</v>
      </c>
      <c r="F14" s="170"/>
      <c r="G14" s="170"/>
      <c r="H14" s="170"/>
      <c r="I14" s="256">
        <f t="shared" ref="I14:I19" si="1">SUM(E14:H14)</f>
        <v>-148.34245106761739</v>
      </c>
    </row>
    <row r="15" spans="1:9" x14ac:dyDescent="0.2">
      <c r="A15" t="s">
        <v>285</v>
      </c>
      <c r="B15" s="138"/>
      <c r="C15" s="170">
        <f>'ANA Summary'!F48</f>
        <v>75</v>
      </c>
      <c r="E15" s="170">
        <f>-E28</f>
        <v>10.5</v>
      </c>
      <c r="F15" s="170">
        <f t="shared" ref="F15:H15" si="2">-F28</f>
        <v>17.25</v>
      </c>
      <c r="G15" s="170">
        <f t="shared" si="2"/>
        <v>23.25</v>
      </c>
      <c r="H15" s="170">
        <f t="shared" si="2"/>
        <v>24</v>
      </c>
      <c r="I15" s="256">
        <f t="shared" si="1"/>
        <v>75</v>
      </c>
    </row>
    <row r="16" spans="1:9" x14ac:dyDescent="0.2">
      <c r="A16" t="s">
        <v>283</v>
      </c>
      <c r="C16" s="170">
        <f>'Detailed Costing'!E32</f>
        <v>304.56469409346732</v>
      </c>
      <c r="E16" s="170">
        <f>-$C$16*E6</f>
        <v>-54.821644936824114</v>
      </c>
      <c r="F16" s="170">
        <f>-$C$16*F6</f>
        <v>-60.912938818693469</v>
      </c>
      <c r="G16" s="170">
        <f>-$C$16*G6</f>
        <v>-124.8715245783216</v>
      </c>
      <c r="H16" s="170">
        <f>-$C$16*H6</f>
        <v>-63.958585759628136</v>
      </c>
      <c r="I16" s="256">
        <f t="shared" si="1"/>
        <v>-304.56469409346732</v>
      </c>
    </row>
    <row r="17" spans="1:9" x14ac:dyDescent="0.2">
      <c r="A17" t="s">
        <v>284</v>
      </c>
      <c r="C17" s="170">
        <f>'ANA Summary'!F34</f>
        <v>81.611209052484128</v>
      </c>
      <c r="E17" s="170">
        <f>-$C$17*E5</f>
        <v>-11.425569267347779</v>
      </c>
      <c r="F17" s="170">
        <f>-$C$17*F5</f>
        <v>-18.770578082071349</v>
      </c>
      <c r="G17" s="170">
        <f>-$C$17*G5</f>
        <v>-25.29947480627008</v>
      </c>
      <c r="H17" s="170">
        <f>-$C$17*H5</f>
        <v>-26.115586896794923</v>
      </c>
      <c r="I17" s="256">
        <f t="shared" si="1"/>
        <v>-81.611209052484128</v>
      </c>
    </row>
    <row r="18" spans="1:9" x14ac:dyDescent="0.2">
      <c r="A18" t="s">
        <v>286</v>
      </c>
      <c r="B18" s="121">
        <f>'ANA Summary'!E46</f>
        <v>0.23400000000000001</v>
      </c>
      <c r="C18" s="170"/>
      <c r="E18" s="170">
        <f>-E7*$B$18</f>
        <v>-38.194045836562573</v>
      </c>
      <c r="F18" s="170">
        <f>-F7*$B$18</f>
        <v>-62.74736101720994</v>
      </c>
      <c r="G18" s="170">
        <f>-G7*$B$18</f>
        <v>-84.572530066674261</v>
      </c>
      <c r="H18" s="170">
        <f>-H7*$B$18</f>
        <v>-87.3006761978573</v>
      </c>
      <c r="I18" s="256">
        <f t="shared" si="1"/>
        <v>-272.81461311830407</v>
      </c>
    </row>
    <row r="19" spans="1:9" x14ac:dyDescent="0.2">
      <c r="A19" s="120" t="s">
        <v>287</v>
      </c>
      <c r="C19" s="246">
        <f>I19</f>
        <v>433.54144770361449</v>
      </c>
      <c r="E19" s="170">
        <f>E7+SUM(E14:E18)</f>
        <v>-79.061293003383582</v>
      </c>
      <c r="F19" s="170">
        <f>F7+SUM(F14:F18)</f>
        <v>142.97023754018736</v>
      </c>
      <c r="G19" s="170">
        <f>G7+SUM(G14:G18)</f>
        <v>149.92753920973513</v>
      </c>
      <c r="H19" s="170">
        <f>H7+SUM(H14:H18)</f>
        <v>219.70496395707562</v>
      </c>
      <c r="I19" s="256">
        <f t="shared" si="1"/>
        <v>433.54144770361449</v>
      </c>
    </row>
    <row r="20" spans="1:9" x14ac:dyDescent="0.2">
      <c r="A20" s="120" t="s">
        <v>315</v>
      </c>
      <c r="C20" s="305">
        <f>C13/C7</f>
        <v>0.34441226475614206</v>
      </c>
      <c r="E20" s="170"/>
      <c r="F20" s="170"/>
      <c r="G20" s="170"/>
      <c r="H20" s="170"/>
      <c r="I20" s="256"/>
    </row>
    <row r="21" spans="1:9" x14ac:dyDescent="0.2">
      <c r="A21" s="255" t="s">
        <v>293</v>
      </c>
      <c r="B21" s="121">
        <f>'Cash Flow'!C1</f>
        <v>0.15</v>
      </c>
      <c r="C21" s="261">
        <f>NPV(B21,E19:H19)</f>
        <v>263.5539062245478</v>
      </c>
      <c r="E21" s="137"/>
      <c r="F21" s="137"/>
      <c r="G21" s="137"/>
      <c r="H21" s="137"/>
    </row>
    <row r="22" spans="1:9" x14ac:dyDescent="0.2">
      <c r="I22" s="137"/>
    </row>
    <row r="24" spans="1:9" x14ac:dyDescent="0.2">
      <c r="A24" s="333" t="s">
        <v>288</v>
      </c>
      <c r="B24" s="333"/>
      <c r="C24" s="333"/>
      <c r="D24" s="333"/>
      <c r="E24" s="333"/>
      <c r="F24" s="333"/>
      <c r="G24" s="333"/>
      <c r="H24" s="333"/>
      <c r="I24" s="128" t="s">
        <v>101</v>
      </c>
    </row>
    <row r="25" spans="1:9" x14ac:dyDescent="0.2">
      <c r="E25" s="120" t="s">
        <v>166</v>
      </c>
      <c r="F25" s="120" t="s">
        <v>264</v>
      </c>
      <c r="G25" s="120" t="s">
        <v>265</v>
      </c>
      <c r="H25" s="120" t="s">
        <v>266</v>
      </c>
      <c r="I25" s="137"/>
    </row>
    <row r="26" spans="1:9" x14ac:dyDescent="0.2">
      <c r="A26" t="s">
        <v>289</v>
      </c>
      <c r="B26" s="138">
        <f>'ANA Summary'!E46</f>
        <v>0.23400000000000001</v>
      </c>
      <c r="E26" s="170">
        <f>$B$26*E7</f>
        <v>38.194045836562573</v>
      </c>
      <c r="F26" s="170">
        <f>$B$26*F7</f>
        <v>62.74736101720994</v>
      </c>
      <c r="G26" s="170">
        <f>$B$26*G7</f>
        <v>84.572530066674261</v>
      </c>
      <c r="H26" s="170">
        <f>$B$26*H7</f>
        <v>87.3006761978573</v>
      </c>
      <c r="I26" s="170">
        <f t="shared" ref="I26:I29" si="3">SUM(E26:H26)</f>
        <v>272.81461311830407</v>
      </c>
    </row>
    <row r="27" spans="1:9" x14ac:dyDescent="0.2">
      <c r="A27" t="s">
        <v>291</v>
      </c>
      <c r="E27" s="170">
        <f>'ANA Summary'!F48</f>
        <v>75</v>
      </c>
      <c r="F27" s="170"/>
      <c r="G27" s="170"/>
      <c r="H27" s="170"/>
      <c r="I27" s="256">
        <f t="shared" si="3"/>
        <v>75</v>
      </c>
    </row>
    <row r="28" spans="1:9" x14ac:dyDescent="0.2">
      <c r="A28" t="s">
        <v>290</v>
      </c>
      <c r="B28" s="138">
        <f>E27/I26</f>
        <v>0.27491195996703005</v>
      </c>
      <c r="E28" s="170">
        <f>-E26*$B$28</f>
        <v>-10.5</v>
      </c>
      <c r="F28" s="170">
        <f t="shared" ref="F28:H28" si="4">-F26*$B$28</f>
        <v>-17.25</v>
      </c>
      <c r="G28" s="170">
        <f t="shared" si="4"/>
        <v>-23.25</v>
      </c>
      <c r="H28" s="170">
        <f t="shared" si="4"/>
        <v>-24</v>
      </c>
      <c r="I28" s="256">
        <f t="shared" si="3"/>
        <v>-75</v>
      </c>
    </row>
    <row r="29" spans="1:9" x14ac:dyDescent="0.2">
      <c r="A29" s="120" t="s">
        <v>292</v>
      </c>
      <c r="C29" s="246">
        <f>I29</f>
        <v>272.81461311830407</v>
      </c>
      <c r="E29" s="256">
        <f>SUM(E26:E28)</f>
        <v>102.69404583656257</v>
      </c>
      <c r="F29" s="256">
        <f t="shared" ref="F29:H29" si="5">SUM(F26:F28)</f>
        <v>45.49736101720994</v>
      </c>
      <c r="G29" s="256">
        <f t="shared" si="5"/>
        <v>61.322530066674261</v>
      </c>
      <c r="H29" s="256">
        <f t="shared" si="5"/>
        <v>63.3006761978573</v>
      </c>
      <c r="I29" s="256">
        <f t="shared" si="3"/>
        <v>272.81461311830407</v>
      </c>
    </row>
    <row r="30" spans="1:9" x14ac:dyDescent="0.2">
      <c r="A30" t="s">
        <v>293</v>
      </c>
      <c r="B30" s="121">
        <f>'Cash Flow'!C1</f>
        <v>0.15</v>
      </c>
      <c r="C30" s="261">
        <f>NPV(B30,E29:H29)</f>
        <v>200.21463770153767</v>
      </c>
    </row>
  </sheetData>
  <mergeCells count="3">
    <mergeCell ref="A3:H3"/>
    <mergeCell ref="A11:H11"/>
    <mergeCell ref="A24:H24"/>
  </mergeCells>
  <pageMargins left="0.7" right="0.7" top="0.75" bottom="0.75" header="0.3" footer="0.3"/>
  <ignoredErrors>
    <ignoredError sqref="E6:H6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9EEC-8369-7448-9C13-7E817071A15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Output</vt:lpstr>
      <vt:lpstr>ANA Summary</vt:lpstr>
      <vt:lpstr>FSI &amp; Area Cal</vt:lpstr>
      <vt:lpstr>Detailed Costing</vt:lpstr>
      <vt:lpstr>Approvals &amp; Liasoning</vt:lpstr>
      <vt:lpstr>Sales and Collection</vt:lpstr>
      <vt:lpstr>Sales Phasing</vt:lpstr>
      <vt:lpstr>Cash Flow</vt:lpstr>
      <vt:lpstr>Project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Shah, ANARL</dc:creator>
  <cp:lastModifiedBy>ANA 2</cp:lastModifiedBy>
  <dcterms:created xsi:type="dcterms:W3CDTF">2025-06-11T09:50:35Z</dcterms:created>
  <dcterms:modified xsi:type="dcterms:W3CDTF">2026-03-06T07:36:26Z</dcterms:modified>
</cp:coreProperties>
</file>